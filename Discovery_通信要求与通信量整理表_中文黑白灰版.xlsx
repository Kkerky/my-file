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bf4c3c60a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信要求" sheetId="1" r:id="R89f40081fa90412f"/>
    <x:sheet xmlns:r="http://schemas.openxmlformats.org/officeDocument/2006/relationships" name="通信量估算" sheetId="2" r:id="R71c93391fb20468e"/>
    <x:sheet xmlns:r="http://schemas.openxmlformats.org/officeDocument/2006/relationships" name="测量记录" sheetId="3" r:id="R48a97f92b9ea4cba"/>
    <x:sheet xmlns:r="http://schemas.openxmlformats.org/officeDocument/2006/relationships" name="测试用例目录" sheetId="4" r:id="Rffcd1bef6b7c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12">
    <x:font>
      <x:sz val="11"/>
      <x:name val="Carlito"/>
    </x:font>
    <x:font>
      <x:sz val="10"/>
      <x:color rgb="FF243447"/>
      <x:name val="Noto Sans CJK JP"/>
    </x:font>
    <x:font>
      <x:b/>
      <x:sz val="14"/>
      <x:color rgb="FF233C59"/>
      <x:name val="Noto Sans CJK JP"/>
    </x:font>
    <x:font>
      <x:b/>
      <x:sz val="10"/>
      <x:color rgb="FFFFFFFF"/>
      <x:name val="Noto Sans CJK JP"/>
    </x:font>
    <x:font>
      <x:b/>
      <x:sz val="10"/>
      <x:color rgb="FF233C59"/>
      <x:name val="Noto Sans CJK JP"/>
    </x:font>
    <x:font>
      <x:sz val="10"/>
      <x:color rgb="FF286093"/>
      <x:name val="Noto Sans CJK JP"/>
    </x:font>
    <x:font>
      <x:sz val="10"/>
      <x:color rgb="FF222222"/>
      <x:name val="Meiryo"/>
    </x:font>
    <x:font>
      <x:b/>
      <x:sz val="14"/>
      <x:color rgb="FF222222"/>
      <x:name val="Meiryo"/>
    </x:font>
    <x:font>
      <x:b/>
      <x:sz val="10"/>
      <x:color rgb="FF222222"/>
      <x:name val="Meiryo"/>
    </x:font>
    <x:font>
      <x:sz val="10"/>
      <x:color rgb="FF222222"/>
      <x:name val="Microsoft YaHei"/>
    </x:font>
    <x:font>
      <x:b/>
      <x:sz val="14"/>
      <x:color rgb="FF222222"/>
      <x:name val="Microsoft YaHei"/>
    </x:font>
    <x:font>
      <x:b/>
      <x:sz val="10"/>
      <x:color rgb="FF222222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233C59"/>
      </x:patternFill>
    </x:fill>
    <x:fill>
      <x:patternFill patternType="solid">
        <x:fgColor rgb="FFEEF3F8"/>
      </x:patternFill>
    </x:fill>
    <x:fill>
      <x:patternFill patternType="solid">
        <x:fgColor rgb="FFFFF3CD"/>
      </x:patternFill>
    </x:fill>
    <x:fill>
      <x:patternFill patternType="solid">
        <x:fgColor rgb="FFD9D9D9"/>
      </x:patternFill>
    </x:fill>
    <x:fill>
      <x:patternFill patternType="solid">
        <x:fgColor rgb="FFFAFAFA"/>
      </x:patternFill>
    </x:fill>
    <x:fill>
      <x:patternFill patternType="solid">
        <x:fgColor rgb="FFF4F4F4"/>
      </x:patternFill>
    </x:fill>
    <x:fill>
      <x:patternFill patternType="solid">
        <x:fgColor rgb="FFEAEAEA"/>
      </x:patternFill>
    </x:fill>
    <x:fill>
      <x:patternFill patternType="solid">
        <x:fgColor rgb="FFE3E3E3"/>
      </x:patternFill>
    </x:fill>
  </x:fills>
  <x:borders count="15">
    <x:border/>
    <x:border>
      <x:bottom style="thin">
        <x:color rgb="FF233C5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EB"/>
      </x:bottom>
    </x:border>
    <x:border>
      <x:top style="thin">
        <x:color rgb="FFD9E2EB"/>
      </x:top>
      <x:bottom style="thin">
        <x:color rgb="FFD9E2EB"/>
      </x:bottom>
    </x:border>
    <x:border>
      <x:top style="thin">
        <x:color rgb="FFD9E2EB"/>
      </x:top>
    </x:border>
    <x:border>
      <x:bottom style="thin">
        <x:color rgb="FF777777"/>
      </x:bottom>
    </x:border>
    <x:border>
      <x:right style="thin">
        <x:color rgb="FFBDBDBD"/>
      </x:right>
    </x:border>
    <x:border>
      <x:left style="thin">
        <x:color rgb="FFBDBDBD"/>
      </x:left>
      <x:right style="thin">
        <x:color rgb="FFBDBDBD"/>
      </x:right>
    </x:border>
    <x:border>
      <x:left style="thin">
        <x:color rgb="FFBDBDBD"/>
      </x:left>
    </x:border>
    <x:border>
      <x:bottom style="thin">
        <x:color rgb="FFD5D5D5"/>
      </x:bottom>
    </x:border>
    <x:border>
      <x:top style="thin">
        <x:color rgb="FFD5D5D5"/>
      </x:top>
      <x:bottom style="thin">
        <x:color rgb="FFD5D5D5"/>
      </x:bottom>
    </x:border>
    <x:border>
      <x:top style="thin">
        <x:color rgb="FFD5D5D5"/>
      </x:top>
    </x:border>
  </x:borders>
  <x:cellStyleXfs count="1">
    <x:xf numFmtId="0" fontId="0" fillId="0" borderId="0"/>
  </x:cellStyleXfs>
  <x:cellXfs count="1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0"/>
    </x:xf>
    <x:xf numFmtId="0" fontId="1" fillId="3" borderId="7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 wrapText="0"/>
    </x:xf>
    <x:xf numFmtId="200" fontId="1" fillId="4" borderId="5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200" fontId="1" fillId="4" borderId="6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0" fontId="1" fillId="4" borderId="7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201" fontId="1" fillId="4" borderId="5" xfId="0" applyNumberFormat="1" applyFont="1" applyFill="1" applyBorder="1" applyAlignment="1">
      <x:alignment vertical="top" wrapText="1"/>
    </x:xf>
    <x:xf numFmtId="201" fontId="1" fillId="4" borderId="6" xfId="0" applyNumberFormat="1" applyFont="1" applyFill="1" applyBorder="1" applyAlignment="1">
      <x:alignment vertical="top" wrapText="1"/>
    </x:xf>
    <x:xf numFmtId="201" fontId="1" fillId="4" borderId="7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200" fontId="1" fillId="4" borderId="5" xfId="0" applyNumberFormat="1" applyFont="1" applyFill="1" applyBorder="1" applyAlignment="1">
      <x:alignment horizontal="right" vertical="top" wrapText="1"/>
    </x:xf>
    <x:xf numFmtId="201" fontId="1" fillId="4" borderId="5" xfId="0" applyNumberFormat="1" applyFont="1" applyFill="1" applyBorder="1" applyAlignment="1">
      <x:alignment horizontal="right" vertical="top" wrapText="1"/>
    </x:xf>
    <x:xf numFmtId="200" fontId="1" fillId="3" borderId="5" xfId="0" applyNumberFormat="1" applyFont="1" applyFill="1" applyBorder="1" applyAlignment="1">
      <x:alignment horizontal="right" vertical="top" wrapText="1"/>
    </x:xf>
    <x:xf numFmtId="200" fontId="1" fillId="4" borderId="6" xfId="0" applyNumberFormat="1" applyFont="1" applyFill="1" applyBorder="1" applyAlignment="1">
      <x:alignment horizontal="right" vertical="top" wrapText="1"/>
    </x:xf>
    <x:xf numFmtId="201" fontId="1" fillId="4" borderId="6" xfId="0" applyNumberFormat="1" applyFont="1" applyFill="1" applyBorder="1" applyAlignment="1">
      <x:alignment horizontal="right" vertical="top" wrapText="1"/>
    </x:xf>
    <x:xf numFmtId="200" fontId="1" fillId="3" borderId="6" xfId="0" applyNumberFormat="1" applyFont="1" applyFill="1" applyBorder="1" applyAlignment="1">
      <x:alignment horizontal="right" vertical="top" wrapText="1"/>
    </x:xf>
    <x:xf numFmtId="200" fontId="1" fillId="4" borderId="7" xfId="0" applyNumberFormat="1" applyFont="1" applyFill="1" applyBorder="1" applyAlignment="1">
      <x:alignment horizontal="right" vertical="top" wrapText="1"/>
    </x:xf>
    <x:xf numFmtId="201" fontId="1" fillId="4" borderId="7" xfId="0" applyNumberFormat="1" applyFont="1" applyFill="1" applyBorder="1" applyAlignment="1">
      <x:alignment horizontal="right" vertical="top" wrapText="1"/>
    </x:xf>
    <x:xf numFmtId="200" fontId="1" fillId="3" borderId="7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top" wrapText="1"/>
    </x:xf>
    <x:xf numFmtId="200" fontId="1" fillId="0" borderId="6" xfId="0" applyNumberFormat="1" applyFont="1" applyFill="1" applyBorder="1" applyAlignment="1">
      <x:alignment horizontal="right"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borderId="11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12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13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4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0"/>
    </x:xf>
    <x:xf numFmtId="0" fontId="8" fillId="8" borderId="0" xfId="0" applyNumberFormat="1" applyFont="1" applyFill="1" applyBorder="1" applyAlignment="1">
      <x:alignment vertical="center" wrapText="0"/>
    </x:xf>
    <x:xf numFmtId="0" fontId="6" fillId="3" borderId="7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200" fontId="6" fillId="4" borderId="5" xfId="0" applyNumberFormat="1" applyFont="1" applyFill="1" applyBorder="1" applyAlignment="1">
      <x:alignment horizontal="right" vertical="top" wrapText="1"/>
    </x:xf>
    <x:xf numFmtId="200" fontId="6" fillId="7" borderId="5" xfId="0" applyNumberFormat="1" applyFont="1" applyFill="1" applyBorder="1" applyAlignment="1">
      <x:alignment horizontal="right" vertical="top" wrapText="1"/>
    </x:xf>
    <x:xf numFmtId="200" fontId="6" fillId="7" borderId="12" xfId="0" applyNumberFormat="1" applyFont="1" applyFill="1" applyBorder="1" applyAlignment="1">
      <x:alignment horizontal="right" vertical="top" wrapText="1"/>
    </x:xf>
    <x:xf numFmtId="201" fontId="6" fillId="4" borderId="5" xfId="0" applyNumberFormat="1" applyFont="1" applyFill="1" applyBorder="1" applyAlignment="1">
      <x:alignment horizontal="right" vertical="top" wrapText="1"/>
    </x:xf>
    <x:xf numFmtId="201" fontId="6" fillId="7" borderId="5" xfId="0" applyNumberFormat="1" applyFont="1" applyFill="1" applyBorder="1" applyAlignment="1">
      <x:alignment horizontal="right" vertical="top" wrapText="1"/>
    </x:xf>
    <x:xf numFmtId="201" fontId="6" fillId="7" borderId="12" xfId="0" applyNumberFormat="1" applyFont="1" applyFill="1" applyBorder="1" applyAlignment="1">
      <x:alignment horizontal="right" vertical="top" wrapText="1"/>
    </x:xf>
    <x:xf numFmtId="200" fontId="6" fillId="3" borderId="5" xfId="0" applyNumberFormat="1" applyFont="1" applyFill="1" applyBorder="1" applyAlignment="1">
      <x:alignment horizontal="right" vertical="top" wrapText="1"/>
    </x:xf>
    <x:xf numFmtId="200" fontId="6" fillId="6" borderId="5" xfId="0" applyNumberFormat="1" applyFont="1" applyFill="1" applyBorder="1" applyAlignment="1">
      <x:alignment horizontal="right" vertical="top" wrapText="1"/>
    </x:xf>
    <x:xf numFmtId="200" fontId="6" fillId="6" borderId="12" xfId="0" applyNumberFormat="1" applyFont="1" applyFill="1" applyBorder="1" applyAlignment="1">
      <x:alignment horizontal="right" vertical="top" wrapText="1"/>
    </x:xf>
    <x:xf numFmtId="200" fontId="6" fillId="4" borderId="6" xfId="0" applyNumberFormat="1" applyFont="1" applyFill="1" applyBorder="1" applyAlignment="1">
      <x:alignment horizontal="right" vertical="top" wrapText="1"/>
    </x:xf>
    <x:xf numFmtId="200" fontId="6" fillId="7" borderId="6" xfId="0" applyNumberFormat="1" applyFont="1" applyFill="1" applyBorder="1" applyAlignment="1">
      <x:alignment horizontal="right" vertical="top" wrapText="1"/>
    </x:xf>
    <x:xf numFmtId="200" fontId="6" fillId="7" borderId="13" xfId="0" applyNumberFormat="1" applyFont="1" applyFill="1" applyBorder="1" applyAlignment="1">
      <x:alignment horizontal="right" vertical="top" wrapText="1"/>
    </x:xf>
    <x:xf numFmtId="201" fontId="6" fillId="4" borderId="6" xfId="0" applyNumberFormat="1" applyFont="1" applyFill="1" applyBorder="1" applyAlignment="1">
      <x:alignment horizontal="right" vertical="top" wrapText="1"/>
    </x:xf>
    <x:xf numFmtId="201" fontId="6" fillId="7" borderId="6" xfId="0" applyNumberFormat="1" applyFont="1" applyFill="1" applyBorder="1" applyAlignment="1">
      <x:alignment horizontal="right" vertical="top" wrapText="1"/>
    </x:xf>
    <x:xf numFmtId="201" fontId="6" fillId="7" borderId="13" xfId="0" applyNumberFormat="1" applyFont="1" applyFill="1" applyBorder="1" applyAlignment="1">
      <x:alignment horizontal="right" vertical="top" wrapText="1"/>
    </x:xf>
    <x:xf numFmtId="200" fontId="6" fillId="3" borderId="6" xfId="0" applyNumberFormat="1" applyFont="1" applyFill="1" applyBorder="1" applyAlignment="1">
      <x:alignment horizontal="right" vertical="top" wrapText="1"/>
    </x:xf>
    <x:xf numFmtId="200" fontId="6" fillId="6" borderId="6" xfId="0" applyNumberFormat="1" applyFont="1" applyFill="1" applyBorder="1" applyAlignment="1">
      <x:alignment horizontal="right" vertical="top" wrapText="1"/>
    </x:xf>
    <x:xf numFmtId="200" fontId="6" fillId="6" borderId="13" xfId="0" applyNumberFormat="1" applyFont="1" applyFill="1" applyBorder="1" applyAlignment="1">
      <x:alignment horizontal="right" vertical="top" wrapText="1"/>
    </x:xf>
    <x:xf numFmtId="200" fontId="6" fillId="4" borderId="7" xfId="0" applyNumberFormat="1" applyFont="1" applyFill="1" applyBorder="1" applyAlignment="1">
      <x:alignment horizontal="right" vertical="top" wrapText="1"/>
    </x:xf>
    <x:xf numFmtId="200" fontId="6" fillId="7" borderId="7" xfId="0" applyNumberFormat="1" applyFont="1" applyFill="1" applyBorder="1" applyAlignment="1">
      <x:alignment horizontal="right" vertical="top" wrapText="1"/>
    </x:xf>
    <x:xf numFmtId="200" fontId="6" fillId="7" borderId="14" xfId="0" applyNumberFormat="1" applyFont="1" applyFill="1" applyBorder="1" applyAlignment="1">
      <x:alignment horizontal="right" vertical="top" wrapText="1"/>
    </x:xf>
    <x:xf numFmtId="201" fontId="6" fillId="4" borderId="7" xfId="0" applyNumberFormat="1" applyFont="1" applyFill="1" applyBorder="1" applyAlignment="1">
      <x:alignment horizontal="right" vertical="top" wrapText="1"/>
    </x:xf>
    <x:xf numFmtId="201" fontId="6" fillId="7" borderId="7" xfId="0" applyNumberFormat="1" applyFont="1" applyFill="1" applyBorder="1" applyAlignment="1">
      <x:alignment horizontal="right" vertical="top" wrapText="1"/>
    </x:xf>
    <x:xf numFmtId="201" fontId="6" fillId="7" borderId="14" xfId="0" applyNumberFormat="1" applyFont="1" applyFill="1" applyBorder="1" applyAlignment="1">
      <x:alignment horizontal="right" vertical="top" wrapText="1"/>
    </x:xf>
    <x:xf numFmtId="200" fontId="6" fillId="3" borderId="7" xfId="0" applyNumberFormat="1" applyFont="1" applyFill="1" applyBorder="1" applyAlignment="1">
      <x:alignment horizontal="right" vertical="top" wrapText="1"/>
    </x:xf>
    <x:xf numFmtId="200" fontId="6" fillId="6" borderId="7" xfId="0" applyNumberFormat="1" applyFont="1" applyFill="1" applyBorder="1" applyAlignment="1">
      <x:alignment horizontal="right" vertical="top" wrapText="1"/>
    </x:xf>
    <x:xf numFmtId="200" fontId="6" fillId="6" borderId="14" xfId="0" applyNumberFormat="1" applyFont="1" applyFill="1" applyBorder="1" applyAlignment="1">
      <x:alignment horizontal="right" vertical="top" wrapText="1"/>
    </x:xf>
    <x:xf numFmtId="201" fontId="6" fillId="0" borderId="0" xfId="0" applyNumberFormat="1" applyFont="1" applyFill="1" applyBorder="1" applyAlignment="1">
      <x:alignment vertical="center"/>
    </x:xf>
    <x:xf numFmtId="200" fontId="6" fillId="9" borderId="12" xfId="0" applyNumberFormat="1" applyFont="1" applyFill="1" applyBorder="1" applyAlignment="1">
      <x:alignment horizontal="right" vertical="top" wrapText="1"/>
    </x:xf>
    <x:xf numFmtId="200" fontId="6" fillId="9" borderId="13" xfId="0" applyNumberFormat="1" applyFont="1" applyFill="1" applyBorder="1" applyAlignment="1">
      <x:alignment horizontal="right" vertical="top" wrapText="1"/>
    </x:xf>
    <x:xf numFmtId="200" fontId="6" fillId="9" borderId="14" xfId="0" applyNumberFormat="1" applyFont="1" applyFill="1" applyBorder="1" applyAlignment="1">
      <x:alignment horizontal="right" vertical="top"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0"/>
    </x:xf>
    <x:xf numFmtId="0" fontId="9" fillId="0" borderId="8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0"/>
    </x:xf>
    <x:xf numFmtId="0" fontId="11" fillId="5" borderId="9" xfId="0" applyNumberFormat="1" applyFont="1" applyFill="1" applyBorder="1" applyAlignment="1">
      <x:alignment horizontal="center" vertical="center" wrapText="1"/>
    </x:xf>
    <x:xf numFmtId="0" fontId="11" fillId="5" borderId="10" xfId="0" applyNumberFormat="1" applyFont="1" applyFill="1" applyBorder="1" applyAlignment="1">
      <x:alignment horizontal="center" vertical="center" wrapText="1"/>
    </x:xf>
    <x:xf numFmtId="0" fontId="11" fillId="5" borderId="11" xfId="0" applyNumberFormat="1" applyFont="1" applyFill="1" applyBorder="1" applyAlignment="1">
      <x:alignment horizontal="center" vertical="center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7" borderId="12" xfId="0" applyNumberFormat="1" applyFont="1" applyFill="1" applyBorder="1" applyAlignment="1">
      <x:alignment vertical="top" wrapText="1"/>
    </x:xf>
    <x:xf numFmtId="0" fontId="9" fillId="7" borderId="13" xfId="0" applyNumberFormat="1" applyFont="1" applyFill="1" applyBorder="1" applyAlignment="1">
      <x:alignment vertical="top" wrapText="1"/>
    </x:xf>
    <x:xf numFmtId="0" fontId="9" fillId="7" borderId="14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 wrapText="0"/>
    </x:xf>
    <x:xf numFmtId="0" fontId="9" fillId="6" borderId="14" xfId="0" applyNumberFormat="1" applyFont="1" applyFill="1" applyBorder="1" applyAlignment="1">
      <x:alignment vertical="top" wrapText="1"/>
    </x:xf>
    <x:xf numFmtId="200" fontId="9" fillId="7" borderId="12" xfId="0" applyNumberFormat="1" applyFont="1" applyFill="1" applyBorder="1" applyAlignment="1">
      <x:alignment horizontal="right" vertical="top" wrapText="1"/>
    </x:xf>
    <x:xf numFmtId="201" fontId="9" fillId="7" borderId="12" xfId="0" applyNumberFormat="1" applyFont="1" applyFill="1" applyBorder="1" applyAlignment="1">
      <x:alignment horizontal="right" vertical="top" wrapText="1"/>
    </x:xf>
    <x:xf numFmtId="200" fontId="9" fillId="9" borderId="12" xfId="0" applyNumberFormat="1" applyFont="1" applyFill="1" applyBorder="1" applyAlignment="1">
      <x:alignment horizontal="right" vertical="top" wrapText="1"/>
    </x:xf>
    <x:xf numFmtId="200" fontId="9" fillId="7" borderId="13" xfId="0" applyNumberFormat="1" applyFont="1" applyFill="1" applyBorder="1" applyAlignment="1">
      <x:alignment horizontal="right" vertical="top" wrapText="1"/>
    </x:xf>
    <x:xf numFmtId="201" fontId="9" fillId="7" borderId="13" xfId="0" applyNumberFormat="1" applyFont="1" applyFill="1" applyBorder="1" applyAlignment="1">
      <x:alignment horizontal="right" vertical="top" wrapText="1"/>
    </x:xf>
    <x:xf numFmtId="200" fontId="9" fillId="9" borderId="13" xfId="0" applyNumberFormat="1" applyFont="1" applyFill="1" applyBorder="1" applyAlignment="1">
      <x:alignment horizontal="right" vertical="top" wrapText="1"/>
    </x:xf>
    <x:xf numFmtId="200" fontId="9" fillId="7" borderId="14" xfId="0" applyNumberFormat="1" applyFont="1" applyFill="1" applyBorder="1" applyAlignment="1">
      <x:alignment horizontal="right" vertical="top" wrapText="1"/>
    </x:xf>
    <x:xf numFmtId="201" fontId="9" fillId="7" borderId="14" xfId="0" applyNumberFormat="1" applyFont="1" applyFill="1" applyBorder="1" applyAlignment="1">
      <x:alignment horizontal="right" vertical="top" wrapText="1"/>
    </x:xf>
    <x:xf numFmtId="200" fontId="9" fillId="9" borderId="14" xfId="0" applyNumberFormat="1" applyFont="1" applyFill="1" applyBorder="1" applyAlignment="1">
      <x:alignment horizontal="right" vertical="top" wrapText="1"/>
    </x:xf>
    <x:xf numFmtId="201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color rgb="FF994100"/>
      </x:font>
      <x:fill>
        <x:patternFill>
          <x:bgColor rgb="FFFFE8D6"/>
        </x:patternFill>
      </x:fill>
    </x:dxf>
    <x:dxf>
      <x:font>
        <x:color rgb="FF994100"/>
      </x:font>
      <x:fill>
        <x:patternFill>
          <x:bgColor rgb="FFFFE8D6"/>
        </x:patternFill>
      </x:fill>
    </x:dxf>
    <x:dxf>
      <x:font>
        <x:b/>
        <x:color rgb="FF9B2424"/>
      </x:font>
      <x:fill>
        <x:patternFill>
          <x:bgColor rgb="FFFCE4E4"/>
        </x:patternFill>
      </x:fill>
    </x:dxf>
    <x:dxf>
      <x:font>
        <x:b/>
        <x:color rgb="FF222222"/>
      </x:font>
      <x:fill>
        <x:patternFill>
          <x:bgColor rgb="FFDADADA"/>
        </x:patternFill>
      </x:fill>
    </x:dxf>
    <x:dxf>
      <x:font>
        <x:b/>
        <x:color rgb="FF222222"/>
      </x:font>
      <x:fill>
        <x:patternFill>
          <x:bgColor rgb="FFDADADA"/>
        </x:patternFill>
      </x:fill>
    </x:dxf>
    <x:dxf>
      <x:font>
        <x:b/>
        <x:color rgb="FF222222"/>
      </x:font>
      <x:fill>
        <x:patternFill>
          <x:bgColor rgb="FFDADADA"/>
        </x:patternFill>
      </x:fill>
    </x:dxf>
    <x:dxf>
      <x:font>
        <x:b/>
        <x:color rgb="FF222222"/>
      </x:font>
      <x:fill>
        <x:patternFill patternType="solid">
          <x:bgColor rgb="FFDADADA"/>
        </x:patternFill>
      </x:fill>
    </x:dxf>
    <x:dxf>
      <x:font>
        <x:b/>
        <x:color rgb="FF222222"/>
      </x:font>
      <x:fill>
        <x:patternFill patternType="solid">
          <x:bgColor rgb="FFDADADA"/>
        </x:patternFill>
      </x:fill>
    </x:dxf>
    <x:dxf>
      <x:font>
        <x:b/>
        <x:color rgb="FF222222"/>
      </x:font>
      <x:fill>
        <x:patternFill patternType="solid">
          <x:bgColor rgb="FFDADA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407a8006d444d" /><Relationship Type="http://schemas.openxmlformats.org/officeDocument/2006/relationships/theme" Target="/xl/theme/theme1.xml" Id="Raed64baf77e94138" /><Relationship Type="http://schemas.openxmlformats.org/officeDocument/2006/relationships/sharedStrings" Target="/xl/sharedStrings.xml" Id="Rf27e1146381d4ed9" /><Relationship Type="http://schemas.openxmlformats.org/officeDocument/2006/relationships/worksheet" Target="/xl/worksheets/sheet1.xml" Id="R89f40081fa90412f" /><Relationship Type="http://schemas.openxmlformats.org/officeDocument/2006/relationships/worksheet" Target="/xl/worksheets/sheet2.xml" Id="R71c93391fb20468e" /><Relationship Type="http://schemas.openxmlformats.org/officeDocument/2006/relationships/worksheet" Target="/xl/worksheets/sheet3.xml" Id="R48a97f92b9ea4cba" /><Relationship Type="http://schemas.openxmlformats.org/officeDocument/2006/relationships/worksheet" Target="/xl/worksheets/sheet4.xml" Id="Rffcd1bef6b7c47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C59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.78000020980835" hidden="0" customWidth="1"/>
    <x:col min="2" max="2" width="12.220000267028809" hidden="0" customWidth="1"/>
    <x:col min="3" max="3" width="18.329999923706055" hidden="0" customWidth="1"/>
    <x:col min="4" max="4" width="18.329999923706055" hidden="0" customWidth="1"/>
    <x:col min="5" max="5" width="21.110000610351562" hidden="0" customWidth="1"/>
    <x:col min="6" max="6" width="12.779999732971191" hidden="0" customWidth="1"/>
    <x:col min="7" max="7" width="23.889999389648438" hidden="0" customWidth="1"/>
    <x:col min="8" max="8" width="18.889999389648438" hidden="0" customWidth="1"/>
    <x:col min="9" max="9" width="21.110000610351562" hidden="0" customWidth="1"/>
    <x:col min="10" max="10" width="10" hidden="0" customWidth="1"/>
    <x:col min="11" max="11" width="30" hidden="0" customWidth="1"/>
  </x:cols>
  <x:sheetData>
    <x:row r="1" ht="25" customHeight="1">
      <x:c r="A1" s="127"/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 ht="25" customHeight="1">
      <x:c r="A2" s="128" t="str">
        <x:v>Discovery 通信要求整理表</x:v>
      </x:c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</x:row>
    <x:row r="3" ht="25" customHeight="1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</x:row>
    <x:row r="4" ht="25" customHeight="1">
      <x:c r="A4" s="127" t="str">
        <x:v>2026/10/01　v0.1　草稿</x:v>
      </x:c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</x:row>
    <x:row r="5" ht="25" customHeight="1">
      <x:c r="A5" s="130" t="str">
        <x:v>目的：在实施 Discovery 前，与客户确认连接路径、FW 放行条件及通信量。</x:v>
      </x:c>
      <x:c r="B5" s="127"/>
      <x:c r="C5" s="127"/>
      <x:c r="D5" s="127"/>
      <x:c r="E5" s="127"/>
      <x:c r="F5" s="127"/>
      <x:c r="G5" s="127"/>
      <x:c r="H5" s="127"/>
      <x:c r="I5" s="127"/>
      <x:c r="J5" s="127"/>
      <x:c r="K5" s="127"/>
    </x:row>
    <x:row r="6" ht="25" customHeight="1">
      <x:c r="A6" s="130" t="str">
        <x:v>浅灰色为填写栏。所列端口为候选值或示例。确定实际环境采用的条件，并在“通信量估算”中按相同通信ID填写通信量。</x:v>
      </x:c>
      <x:c r="B6" s="127"/>
      <x:c r="C6" s="127"/>
      <x:c r="D6" s="127"/>
      <x:c r="E6" s="127"/>
      <x:c r="F6" s="127"/>
      <x:c r="G6" s="127"/>
      <x:c r="H6" s="127"/>
      <x:c r="I6" s="127"/>
      <x:c r="J6" s="127"/>
      <x:c r="K6" s="127"/>
    </x:row>
    <x:row r="7" ht="42" customHeight="1">
      <x:c r="A7" s="131" t="str">
        <x:v>通信ID</x:v>
      </x:c>
      <x:c r="B7" s="132" t="str">
        <x:v>环境分类</x:v>
      </x:c>
      <x:c r="C7" s="132" t="str">
        <x:v>对象/方式</x:v>
      </x:c>
      <x:c r="D7" s="132" t="str">
        <x:v>通信源/IP</x:v>
      </x:c>
      <x:c r="E7" s="132" t="str">
        <x:v>通信目标/IP/FQDN</x:v>
      </x:c>
      <x:c r="F7" s="132" t="str">
        <x:v>连接发起方向</x:v>
      </x:c>
      <x:c r="G7" s="132" t="str">
        <x:v>协议/目标端口</x:v>
      </x:c>
      <x:c r="H7" s="132" t="str">
        <x:v>通信时机/频率</x:v>
      </x:c>
      <x:c r="I7" s="132" t="str">
        <x:v>FW 处理/负责人</x:v>
      </x:c>
      <x:c r="J7" s="132" t="str">
        <x:v>确认状态</x:v>
      </x:c>
      <x:c r="K7" s="133" t="str">
        <x:v>待确认事项</x:v>
      </x:c>
    </x:row>
    <x:row r="8" ht="54" customHeight="1">
      <x:c r="A8" s="134" t="str">
        <x:v>C01</x:v>
      </x:c>
      <x:c r="B8" s="134" t="str">
        <x:v>Housing</x:v>
      </x:c>
      <x:c r="C8" s="134" t="str">
        <x:v>Windows
Horizontal Discovery</x:v>
      </x:c>
      <x:c r="D8" s="138" t="str">
        <x:v>MID Server
名称/IP：待确认</x:v>
      </x:c>
      <x:c r="E8" s="138" t="str">
        <x:v>Windows Server
IP/CIDR：待确认</x:v>
      </x:c>
      <x:c r="F8" s="134" t="str">
        <x:v>由 MID 发起</x:v>
      </x:c>
      <x:c r="G8" s="138" t="str">
        <x:v>WMI / WinRM
采用方式/目标端口：待确认</x:v>
      </x:c>
      <x:c r="H8" s="138" t="str">
        <x:v>首次/定期执行
执行时段：待确认</x:v>
      </x:c>
      <x:c r="I8" s="138" t="str">
        <x:v>路径上的 FW/目标 OS 的 FW
负责人/申请编号：待确认</x:v>
      </x:c>
      <x:c r="J8" s="138" t="str">
        <x:v>待确认</x:v>
      </x:c>
      <x:c r="K8" s="134" t="str">
        <x:v>确认目标数量、使用的凭据、执行的 Pattern 及 Proxy/NAT。参见 P01/P02。</x:v>
      </x:c>
    </x:row>
    <x:row r="9" ht="54" customHeight="1">
      <x:c r="A9" s="135" t="str">
        <x:v>C02</x:v>
      </x:c>
      <x:c r="B9" s="135" t="str">
        <x:v>Housing</x:v>
      </x:c>
      <x:c r="C9" s="135" t="str">
        <x:v>Linux
Horizontal Discovery</x:v>
      </x:c>
      <x:c r="D9" s="139" t="str">
        <x:v>MID Server
名称/IP：待确认</x:v>
      </x:c>
      <x:c r="E9" s="139" t="str">
        <x:v>Linux Server
IP/CIDR：待确认</x:v>
      </x:c>
      <x:c r="F9" s="135" t="str">
        <x:v>由 MID 发起</x:v>
      </x:c>
      <x:c r="G9" s="139" t="str">
        <x:v>SSH / TCP 22（示例）
实际配置：待确认</x:v>
      </x:c>
      <x:c r="H9" s="139" t="str">
        <x:v>首次/定期执行
执行时段：待确认</x:v>
      </x:c>
      <x:c r="I9" s="139" t="str">
        <x:v>路径上的 FW/目标 OS 的 FW
负责人/申请编号：待确认</x:v>
      </x:c>
      <x:c r="J9" s="139" t="str">
        <x:v>待确认</x:v>
      </x:c>
      <x:c r="K9" s="135" t="str">
        <x:v>确认目标数量、使用的凭据、执行的 Pattern 及 Proxy/NAT。参见 P03。</x:v>
      </x:c>
    </x:row>
    <x:row r="10" ht="54" customHeight="1">
      <x:c r="A10" s="136" t="str">
        <x:v>C03</x:v>
      </x:c>
      <x:c r="B10" s="136" t="str">
        <x:v>Hosting</x:v>
      </x:c>
      <x:c r="C10" s="136" t="str">
        <x:v>Windows
Horizontal Discovery</x:v>
      </x:c>
      <x:c r="D10" s="139" t="str">
        <x:v>MID Server
名称/IP：待确认</x:v>
      </x:c>
      <x:c r="E10" s="139" t="str">
        <x:v>Windows Server
IP/CIDR：待确认</x:v>
      </x:c>
      <x:c r="F10" s="136" t="str">
        <x:v>由 MID 发起</x:v>
      </x:c>
      <x:c r="G10" s="139" t="str">
        <x:v>WMI / WinRM
采用方式/目标端口：待确认</x:v>
      </x:c>
      <x:c r="H10" s="139" t="str">
        <x:v>首次/定期执行
执行时段：待确认</x:v>
      </x:c>
      <x:c r="I10" s="139" t="str">
        <x:v>路径上的 FW/目标 OS 的 FW
负责人/申请编号：待确认</x:v>
      </x:c>
      <x:c r="J10" s="139" t="str">
        <x:v>待确认</x:v>
      </x:c>
      <x:c r="K10" s="136" t="str">
        <x:v>确认目标数量、使用的凭据、执行的 Pattern 及 Proxy/NAT。参见 P01/P02。</x:v>
      </x:c>
    </x:row>
    <x:row r="11" ht="54" customHeight="1">
      <x:c r="A11" s="135" t="str">
        <x:v>C04</x:v>
      </x:c>
      <x:c r="B11" s="135" t="str">
        <x:v>Hosting</x:v>
      </x:c>
      <x:c r="C11" s="135" t="str">
        <x:v>Linux
Horizontal Discovery</x:v>
      </x:c>
      <x:c r="D11" s="139" t="str">
        <x:v>MID Server
名称/IP：待确认</x:v>
      </x:c>
      <x:c r="E11" s="139" t="str">
        <x:v>Linux Server
IP/CIDR：待确认</x:v>
      </x:c>
      <x:c r="F11" s="135" t="str">
        <x:v>由 MID 发起</x:v>
      </x:c>
      <x:c r="G11" s="139" t="str">
        <x:v>SSH / TCP 22（示例）
实际配置：待确认</x:v>
      </x:c>
      <x:c r="H11" s="139" t="str">
        <x:v>首次/定期执行
执行时段：待确认</x:v>
      </x:c>
      <x:c r="I11" s="139" t="str">
        <x:v>路径上的 FW/目标 OS 的 FW
负责人/申请编号：待确认</x:v>
      </x:c>
      <x:c r="J11" s="139" t="str">
        <x:v>待确认</x:v>
      </x:c>
      <x:c r="K11" s="135" t="str">
        <x:v>确认目标数量、使用的凭据、执行的 Pattern 及 Proxy/NAT。参见 P03。</x:v>
      </x:c>
    </x:row>
    <x:row r="12" ht="54" customHeight="1">
      <x:c r="A12" s="136" t="str">
        <x:v>C05</x:v>
      </x:c>
      <x:c r="B12" s="136" t="str">
        <x:v>各站点</x:v>
      </x:c>
      <x:c r="C12" s="136" t="str">
        <x:v>Windows
Horizontal Discovery</x:v>
      </x:c>
      <x:c r="D12" s="139" t="str">
        <x:v>MID Server
名称/IP：待确认</x:v>
      </x:c>
      <x:c r="E12" s="139" t="str">
        <x:v>Windows Server
IP/CIDR：待确认</x:v>
      </x:c>
      <x:c r="F12" s="136" t="str">
        <x:v>由 MID 发起</x:v>
      </x:c>
      <x:c r="G12" s="139" t="str">
        <x:v>WMI / WinRM
采用方式/目标端口：待确认</x:v>
      </x:c>
      <x:c r="H12" s="139" t="str">
        <x:v>首次/定期执行
执行时段：待确认</x:v>
      </x:c>
      <x:c r="I12" s="139" t="str">
        <x:v>路径上的 FW/目标 OS 的 FW
负责人/申请编号：待确认</x:v>
      </x:c>
      <x:c r="J12" s="139" t="str">
        <x:v>待确认</x:v>
      </x:c>
      <x:c r="K12" s="136" t="str">
        <x:v>确认目标数量、使用的凭据、执行的 Pattern 及 Proxy/NAT。参见 P01/P02。</x:v>
      </x:c>
    </x:row>
    <x:row r="13" ht="54" customHeight="1">
      <x:c r="A13" s="135" t="str">
        <x:v>C06</x:v>
      </x:c>
      <x:c r="B13" s="135" t="str">
        <x:v>各站点</x:v>
      </x:c>
      <x:c r="C13" s="135" t="str">
        <x:v>Linux
Horizontal Discovery</x:v>
      </x:c>
      <x:c r="D13" s="139" t="str">
        <x:v>MID Server
名称/IP：待确认</x:v>
      </x:c>
      <x:c r="E13" s="139" t="str">
        <x:v>Linux Server
IP/CIDR：待确认</x:v>
      </x:c>
      <x:c r="F13" s="135" t="str">
        <x:v>由 MID 发起</x:v>
      </x:c>
      <x:c r="G13" s="139" t="str">
        <x:v>SSH / TCP 22（示例）
实际配置：待确认</x:v>
      </x:c>
      <x:c r="H13" s="139" t="str">
        <x:v>首次/定期执行
执行时段：待确认</x:v>
      </x:c>
      <x:c r="I13" s="139" t="str">
        <x:v>路径上的 FW/目标 OS 的 FW
负责人/申请编号：待确认</x:v>
      </x:c>
      <x:c r="J13" s="139" t="str">
        <x:v>待确认</x:v>
      </x:c>
      <x:c r="K13" s="135" t="str">
        <x:v>确认目标数量、使用的凭据、执行的 Pattern 及 Proxy/NAT。参见 P03。</x:v>
      </x:c>
    </x:row>
    <x:row r="14" ht="54" customHeight="1">
      <x:c r="A14" s="136" t="str">
        <x:v>C07</x:v>
      </x:c>
      <x:c r="B14" s="136" t="str">
        <x:v>通用</x:v>
      </x:c>
      <x:c r="C14" s="136" t="str">
        <x:v>MID Server 与 ServiceNow</x:v>
      </x:c>
      <x:c r="D14" s="139" t="str">
        <x:v>MID Server
名称/IP：待确认</x:v>
      </x:c>
      <x:c r="E14" s="139" t="str">
        <x:v>ServiceNow instance
FQDN：待确认</x:v>
      </x:c>
      <x:c r="F14" s="136" t="str">
        <x:v>由 MID 发起</x:v>
      </x:c>
      <x:c r="G14" s="139" t="str">
        <x:v>HTTPS / TCP 443
经由 Proxy 时确认路径</x:v>
      </x:c>
      <x:c r="H14" s="139" t="str">
        <x:v>持续连接/结果发送等</x:v>
      </x:c>
      <x:c r="I14" s="139" t="str">
        <x:v>MID 对外通信
FW/Proxy：待确认</x:v>
      </x:c>
      <x:c r="J14" s="139" t="str">
        <x:v>待确认</x:v>
      </x:c>
      <x:c r="K14" s="136" t="str">
        <x:v>包括采集结果、轮询等。与面向目标设备的通信分别测量。</x:v>
      </x:c>
    </x:row>
    <x:row r="15" ht="54" customHeight="1">
      <x:c r="A15" s="135" t="str">
        <x:v>C08</x:v>
      </x:c>
      <x:c r="B15" s="135" t="str">
        <x:v>Azure</x:v>
      </x:c>
      <x:c r="C15" s="135" t="str">
        <x:v>Azure Cloud Discovery</x:v>
      </x:c>
      <x:c r="D15" s="139" t="str">
        <x:v>执行方：待确认
MID / instance 等</x:v>
      </x:c>
      <x:c r="E15" s="139" t="str">
        <x:v>Azure 认证/API
FQDN 列表：待确认</x:v>
      </x:c>
      <x:c r="F15" s="135" t="str">
        <x:v>由执行方发起</x:v>
      </x:c>
      <x:c r="G15" s="139" t="str">
        <x:v>HTTPS / TCP 443（候选）
实现方式/连接目标：待确认</x:v>
      </x:c>
      <x:c r="H15" s="139" t="str">
        <x:v>首次/定期执行
Schedule：待确认</x:v>
      </x:c>
      <x:c r="I15" s="139" t="str">
        <x:v>对外 FW/Proxy
负责人：待确认</x:v>
      </x:c>
      <x:c r="J15" s="139" t="str">
        <x:v>待确认</x:v>
      </x:c>
      <x:c r="K15" s="135" t="str">
        <x:v>确定 Cloud API 的调查范围。VM 的 OS Discovery 另行添加。</x:v>
      </x:c>
    </x:row>
    <x:row r="16" ht="54" customHeight="1">
      <x:c r="A16" s="136" t="str">
        <x:v>C09</x:v>
      </x:c>
      <x:c r="B16" s="136" t="str">
        <x:v>适用环境：待确认</x:v>
      </x:c>
      <x:c r="C16" s="136" t="str">
        <x:v>ACC 采集/通知
适用于经由 MID 的架构</x:v>
      </x:c>
      <x:c r="D16" s="139" t="str">
        <x:v>安装 ACC 的终端
IP/CIDR：待确认</x:v>
      </x:c>
      <x:c r="E16" s="139" t="str">
        <x:v>ACC 用 MID listener
IP/FQDN：待确认</x:v>
      </x:c>
      <x:c r="F16" s="136" t="str">
        <x:v>由 ACC 发起</x:v>
      </x:c>
      <x:c r="G16" s="139" t="str">
        <x:v>WSS / TCP 配置值
8800 为示例，需确认采用值</x:v>
      </x:c>
      <x:c r="H16" s="139" t="str">
        <x:v>首次注册/首次采集/定期
周期：待确认</x:v>
      </x:c>
      <x:c r="I16" s="139" t="str">
        <x:v>ACC → MID listener
FW：待确认</x:v>
      </x:c>
      <x:c r="J16" s="139" t="str">
        <x:v>待确认</x:v>
      </x:c>
      <x:c r="K16" s="136" t="str">
        <x:v>确认 acc.yml 的 backend-url。若采用不使用 MID 的架构，需修改本行。</x:v>
      </x:c>
    </x:row>
    <x:row r="17" ht="54" customHeight="1">
      <x:c r="A17" s="135" t="str">
        <x:v>C10</x:v>
      </x:c>
      <x:c r="B17" s="135" t="str">
        <x:v>适用环境：待确认</x:v>
      </x:c>
      <x:c r="C17" s="135" t="str">
        <x:v>ACC 分发/更新</x:v>
      </x:c>
      <x:c r="D17" s="139" t="str">
        <x:v>实际获取方
终端／分发服务器等：待确认</x:v>
      </x:c>
      <x:c r="E17" s="139" t="str">
        <x:v>实际分发目标
URL/IP：待确认</x:v>
      </x:c>
      <x:c r="F17" s="135" t="str">
        <x:v>分发方式：待确认</x:v>
      </x:c>
      <x:c r="G17" s="139" t="str">
        <x:v>分发方式/目标端口
待确认</x:v>
      </x:c>
      <x:c r="H17" s="139" t="str">
        <x:v>部署/重新部署/更新时</x:v>
      </x:c>
      <x:c r="I17" s="139" t="str">
        <x:v>逐条确认分发路径</x:v>
      </x:c>
      <x:c r="J17" s="139" t="str">
        <x:v>待确认</x:v>
      </x:c>
      <x:c r="K17" s="135" t="str">
        <x:v>包括安装程序、附加插件等。是否采用缓存或共享分发会影响通信量。</x:v>
      </x:c>
    </x:row>
    <x:row r="18" ht="54" customHeight="1">
      <x:c r="A18" s="137" t="str">
        <x:v>C11</x:v>
      </x:c>
      <x:c r="B18" s="137" t="str">
        <x:v>通用</x:v>
      </x:c>
      <x:c r="C18" s="137" t="str">
        <x:v>MID 分发/更新</x:v>
      </x:c>
      <x:c r="D18" s="140" t="str">
        <x:v>MID／分发服务器等
名称/IP：待确认</x:v>
      </x:c>
      <x:c r="E18" s="140" t="str">
        <x:v>下载／分发目标
FQDN：待确认</x:v>
      </x:c>
      <x:c r="F18" s="137" t="str">
        <x:v>由获取方发起</x:v>
      </x:c>
      <x:c r="G18" s="140" t="str">
        <x:v>HTTPS / TCP 443（候选）
分发方式：待确认</x:v>
      </x:c>
      <x:c r="H18" s="140" t="str">
        <x:v>搭建/更新时</x:v>
      </x:c>
      <x:c r="I18" s="140" t="str">
        <x:v>对外 FW/Proxy
负责人：待确认</x:v>
      </x:c>
      <x:c r="J18" s="140" t="str">
        <x:v>待确认</x:v>
      </x:c>
      <x:c r="K18" s="137" t="str">
        <x:v>自动更新的获取目标参见 P04。需与常规 Discovery 通信量分开统计。</x:v>
      </x:c>
    </x:row>
    <x:row r="19" ht="25" customHeight="1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</x:row>
    <x:row r="20" ht="25" customHeight="1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</x:row>
    <x:row r="21" ht="25" customHeight="1">
      <x:c r="A21" s="142" t="str">
        <x:v>候选端口及采用条件（参考）</x:v>
      </x:c>
      <x:c r="B21" s="141"/>
      <x:c r="C21" s="141"/>
      <x:c r="D21" s="141"/>
      <x:c r="E21" s="141"/>
      <x:c r="F21" s="141"/>
      <x:c r="G21" s="141"/>
      <x:c r="H21" s="141"/>
      <x:c r="I21" s="141"/>
      <x:c r="J21" s="141"/>
      <x:c r="K21" s="141"/>
    </x:row>
    <x:row r="22" ht="42" customHeight="1">
      <x:c r="A22" s="131" t="str">
        <x:v>参考ID</x:v>
      </x:c>
      <x:c r="B22" s="132" t="str">
        <x:v>分类</x:v>
      </x:c>
      <x:c r="C22" s="132" t="str">
        <x:v>内容</x:v>
      </x:c>
      <x:c r="D22" s="132" t="str">
        <x:v>适用条件</x:v>
      </x:c>
      <x:c r="E22" s="132" t="str">
        <x:v>确认对象</x:v>
      </x:c>
      <x:c r="F22" s="133" t="str">
        <x:v>备注</x:v>
      </x:c>
      <x:c r="G22" s="127"/>
      <x:c r="H22" s="127"/>
      <x:c r="I22" s="127"/>
      <x:c r="J22" s="127"/>
      <x:c r="K22" s="127"/>
    </x:row>
    <x:row r="23" ht="72" customHeight="1">
      <x:c r="A23" s="134" t="str">
        <x:v>P01</x:v>
      </x:c>
      <x:c r="B23" s="134" t="str">
        <x:v>Windows / WMI</x:v>
      </x:c>
      <x:c r="C23" s="134" t="str">
        <x:v>TCP 135 及动态 RPC 端口</x:v>
      </x:c>
      <x:c r="D23" s="134" t="str">
        <x:v>采用 WMI/DCOM 时</x:v>
      </x:c>
      <x:c r="E23" s="134" t="str">
        <x:v>Windows 侧的实际配置/限制范围</x:v>
      </x:c>
      <x:c r="F23" s="134" t="str">
        <x:v>不得认定仅开放 135 即可。还需确认所采用 Pattern 的附加通信。</x:v>
      </x:c>
      <x:c r="G23" s="127"/>
      <x:c r="H23" s="127"/>
      <x:c r="I23" s="127"/>
      <x:c r="J23" s="127"/>
      <x:c r="K23" s="127"/>
    </x:row>
    <x:row r="24" ht="72" customHeight="1">
      <x:c r="A24" s="135" t="str">
        <x:v>P02</x:v>
      </x:c>
      <x:c r="B24" s="135" t="str">
        <x:v>Windows / WinRM</x:v>
      </x:c>
      <x:c r="C24" s="135" t="str">
        <x:v>TCP 5985（HTTP）或 5986（HTTPS）</x:v>
      </x:c>
      <x:c r="D24" s="135" t="str">
        <x:v>采用 WinRM 时</x:v>
      </x:c>
      <x:c r="E24" s="135" t="str">
        <x:v>Listener/Pattern/认证方式</x:v>
      </x:c>
      <x:c r="F24" s="135" t="str">
        <x:v>确认与 WMI 等并用的条件。不得断定仅需 5985/5986。</x:v>
      </x:c>
      <x:c r="G24" s="127"/>
      <x:c r="H24" s="127"/>
      <x:c r="I24" s="127"/>
      <x:c r="J24" s="127"/>
      <x:c r="K24" s="127"/>
    </x:row>
    <x:row r="25" ht="72" customHeight="1">
      <x:c r="A25" s="136" t="str">
        <x:v>P03</x:v>
      </x:c>
      <x:c r="B25" s="136" t="str">
        <x:v>Linux / SSH</x:v>
      </x:c>
      <x:c r="C25" s="136" t="str">
        <x:v>TCP 22（常见示例）</x:v>
      </x:c>
      <x:c r="D25" s="136" t="str">
        <x:v>采用 SSH 采集时</x:v>
      </x:c>
      <x:c r="E25" s="136" t="str">
        <x:v>实际 SSH 监听端口/权限</x:v>
      </x:c>
      <x:c r="F25" s="136" t="str">
        <x:v>若使用非标准端口，需改为实际采用值。</x:v>
      </x:c>
      <x:c r="G25" s="127"/>
      <x:c r="H25" s="127"/>
      <x:c r="I25" s="127"/>
      <x:c r="J25" s="127"/>
      <x:c r="K25" s="127"/>
    </x:row>
    <x:row r="26" ht="72" customHeight="1">
      <x:c r="A26" s="135" t="str">
        <x:v>P04</x:v>
      </x:c>
      <x:c r="B26" s="135" t="str">
        <x:v>MID / instance</x:v>
      </x:c>
      <x:c r="C26" s="135" t="str">
        <x:v>TCP 443（HTTPS）</x:v>
      </x:c>
      <x:c r="D26" s="135" t="str">
        <x:v>MID 连接 instance 时</x:v>
      </x:c>
      <x:c r="E26" s="135" t="str">
        <x:v>instance FQDN/Proxy/更新目标</x:v>
      </x:c>
      <x:c r="F26" s="135" t="str">
        <x:v>自动更新时，还需确认对 install.service-now.com 的访问。</x:v>
      </x:c>
      <x:c r="G26" s="127"/>
      <x:c r="H26" s="127"/>
      <x:c r="I26" s="127"/>
      <x:c r="J26" s="127"/>
      <x:c r="K26" s="127"/>
    </x:row>
    <x:row r="27" ht="72" customHeight="1">
      <x:c r="A27" s="137" t="str">
        <x:v>P05</x:v>
      </x:c>
      <x:c r="B27" s="137" t="str">
        <x:v>ACC / MID</x:v>
      </x:c>
      <x:c r="C27" s="137" t="str">
        <x:v>WSS / backend-url 中配置的端口</x:v>
      </x:c>
      <x:c r="D27" s="137" t="str">
        <x:v>适用于经由 MID 的架构</x:v>
      </x:c>
      <x:c r="E27" s="137" t="str">
        <x:v>acc.yml/listener/TLS 配置</x:v>
      </x:c>
      <x:c r="F27" s="137" t="str">
        <x:v>不得将官方配置示例中的 8800 直接视为生产环境条件。</x:v>
      </x:c>
      <x:c r="G27" s="127"/>
      <x:c r="H27" s="127"/>
      <x:c r="I27" s="127"/>
      <x:c r="J27" s="127"/>
      <x:c r="K27" s="127"/>
    </x:row>
    <x:row r="28" ht="25" customHeight="1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</x:row>
    <x:row r="29" ht="25" customHeight="1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</x:row>
    <x:row r="30" ht="25" customHeight="1">
      <x:c r="A30" s="142" t="str">
        <x:v>待确定事项</x:v>
      </x:c>
      <x:c r="B30" s="141"/>
      <x:c r="C30" s="141"/>
      <x:c r="D30" s="141"/>
      <x:c r="E30" s="141"/>
      <x:c r="F30" s="141"/>
      <x:c r="G30" s="141"/>
      <x:c r="H30" s="141"/>
      <x:c r="I30" s="141"/>
      <x:c r="J30" s="141"/>
      <x:c r="K30" s="141"/>
    </x:row>
    <x:row r="31" ht="42" customHeight="1">
      <x:c r="A31" s="131" t="str">
        <x:v>事项ID</x:v>
      </x:c>
      <x:c r="B31" s="132" t="str">
        <x:v>确认对象</x:v>
      </x:c>
      <x:c r="C31" s="132" t="str">
        <x:v>所需信息</x:v>
      </x:c>
      <x:c r="D31" s="132" t="str">
        <x:v>确认方（填写）</x:v>
      </x:c>
      <x:c r="E31" s="132" t="str">
        <x:v>期限（填写）</x:v>
      </x:c>
      <x:c r="F31" s="133" t="str">
        <x:v>状态</x:v>
      </x:c>
      <x:c r="G31" s="127"/>
      <x:c r="H31" s="127"/>
      <x:c r="I31" s="127"/>
      <x:c r="J31" s="127"/>
      <x:c r="K31" s="127"/>
    </x:row>
    <x:row r="32" ht="72" customHeight="1">
      <x:c r="A32" s="134" t="str">
        <x:v>Q01</x:v>
      </x:c>
      <x:c r="B32" s="134" t="str">
        <x:v>目标环境/数量</x:v>
      </x:c>
      <x:c r="C32" s="134" t="str">
        <x:v>Housing / Hosting / 站点名称、OS、ACC 对象、Azure 调查范围</x:v>
      </x:c>
      <x:c r="D32" s="138" t="str">
        <x:v>待确认</x:v>
      </x:c>
      <x:c r="E32" s="138" t="str">
        <x:v>待确认</x:v>
      </x:c>
      <x:c r="F32" s="134" t="str">
        <x:v>未开始</x:v>
      </x:c>
      <x:c r="G32" s="127"/>
      <x:c r="H32" s="127"/>
      <x:c r="I32" s="127"/>
      <x:c r="J32" s="127"/>
      <x:c r="K32" s="127"/>
    </x:row>
    <x:row r="33" ht="72" customHeight="1">
      <x:c r="A33" s="135" t="str">
        <x:v>Q02</x:v>
      </x:c>
      <x:c r="B33" s="135" t="str">
        <x:v>实现方式/通信路径</x:v>
      </x:c>
      <x:c r="C33" s="135" t="str">
        <x:v>SN/MID/ACC 版本、采用方式、IP/CIDR/FQDN、Proxy/NAT</x:v>
      </x:c>
      <x:c r="D33" s="139" t="str">
        <x:v>待确认</x:v>
      </x:c>
      <x:c r="E33" s="139" t="str">
        <x:v>待确认</x:v>
      </x:c>
      <x:c r="F33" s="135" t="str">
        <x:v>未开始</x:v>
      </x:c>
      <x:c r="G33" s="127"/>
      <x:c r="H33" s="127"/>
      <x:c r="I33" s="127"/>
      <x:c r="J33" s="127"/>
      <x:c r="K33" s="127"/>
    </x:row>
    <x:row r="34" ht="72" customHeight="1">
      <x:c r="A34" s="136" t="str">
        <x:v>Q03</x:v>
      </x:c>
      <x:c r="B34" s="136" t="str">
        <x:v>运行频率</x:v>
      </x:c>
      <x:c r="C34" s="136" t="str">
        <x:v>首次执行日期、定期 Schedule、ACC 周期、允许执行时段、并发数</x:v>
      </x:c>
      <x:c r="D34" s="139" t="str">
        <x:v>待确认</x:v>
      </x:c>
      <x:c r="E34" s="139" t="str">
        <x:v>待确认</x:v>
      </x:c>
      <x:c r="F34" s="136" t="str">
        <x:v>未开始</x:v>
      </x:c>
      <x:c r="G34" s="127"/>
      <x:c r="H34" s="127"/>
      <x:c r="I34" s="127"/>
      <x:c r="J34" s="127"/>
      <x:c r="K34" s="127"/>
    </x:row>
    <x:row r="35" ht="72" customHeight="1">
      <x:c r="A35" s="135" t="str">
        <x:v>Q04</x:v>
      </x:c>
      <x:c r="B35" s="135" t="str">
        <x:v>通信量实测</x:v>
      </x:c>
      <x:c r="C35" s="135" t="str">
        <x:v>测量位置、目标通信、发送与接收、初始部署/首次采集/定期采集的明细</x:v>
      </x:c>
      <x:c r="D35" s="139" t="str">
        <x:v>待确认</x:v>
      </x:c>
      <x:c r="E35" s="139" t="str">
        <x:v>待确认</x:v>
      </x:c>
      <x:c r="F35" s="135" t="str">
        <x:v>未开始</x:v>
      </x:c>
      <x:c r="G35" s="127"/>
      <x:c r="H35" s="127"/>
      <x:c r="I35" s="127"/>
      <x:c r="J35" s="127"/>
      <x:c r="K35" s="127"/>
    </x:row>
    <x:row r="36" ht="72" customHeight="1">
      <x:c r="A36" s="136" t="str">
        <x:v>Q05</x:v>
      </x:c>
      <x:c r="B36" s="136" t="str">
        <x:v>已有的 7.3GB</x:v>
      </x:c>
      <x:c r="C36" s="136" t="str">
        <x:v>统计期间、测量来源、单位，以及是否混入软件部署/更新/其他通信</x:v>
      </x:c>
      <x:c r="D36" s="139" t="str">
        <x:v>待确认</x:v>
      </x:c>
      <x:c r="E36" s="139" t="str">
        <x:v>待确认</x:v>
      </x:c>
      <x:c r="F36" s="136" t="str">
        <x:v>尚未采用为 Discovery 专用值</x:v>
      </x:c>
      <x:c r="G36" s="127"/>
      <x:c r="H36" s="127"/>
      <x:c r="I36" s="127"/>
      <x:c r="J36" s="127"/>
      <x:c r="K36" s="127"/>
    </x:row>
    <x:row r="37" ht="72" customHeight="1">
      <x:c r="A37" s="143" t="str">
        <x:v>Q06</x:v>
      </x:c>
      <x:c r="B37" s="143" t="str">
        <x:v>客户确认</x:v>
      </x:c>
      <x:c r="C37" s="143" t="str">
        <x:v>FW 放行、负责人、通信量评估对象线路、提交对象/提交日期</x:v>
      </x:c>
      <x:c r="D37" s="140" t="str">
        <x:v>待确认</x:v>
      </x:c>
      <x:c r="E37" s="140" t="str">
        <x:v>待确认</x:v>
      </x:c>
      <x:c r="F37" s="143" t="str">
        <x:v>未开始</x:v>
      </x:c>
      <x:c r="G37" s="127"/>
      <x:c r="H37" s="127"/>
      <x:c r="I37" s="127"/>
      <x:c r="J37" s="127"/>
      <x:c r="K37" s="127"/>
    </x:row>
    <x:row r="38" ht="25" customHeight="1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</x:row>
    <x:row r="39" ht="25" customHeight="1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</x:row>
    <x:row r="40" ht="25" customHeight="1">
      <x:c r="A40" s="142" t="str">
        <x:v>参考资料（2026/10/01 确认。需对照所采用版本的资料及实际配置）</x:v>
      </x:c>
      <x:c r="B40" s="141"/>
      <x:c r="C40" s="141"/>
      <x:c r="D40" s="141"/>
      <x:c r="E40" s="141"/>
      <x:c r="F40" s="141"/>
      <x:c r="G40" s="141"/>
      <x:c r="H40" s="141"/>
      <x:c r="I40" s="141"/>
      <x:c r="J40" s="141"/>
      <x:c r="K40" s="141"/>
    </x:row>
    <x:row r="41" ht="25" customHeight="1">
      <x:c r="A41" s="130" t="str">
        <x:v>ServiceNow / Discovery 端口与协议</x:v>
      </x:c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</x:row>
    <x:row r="42" ht="25" customHeight="1">
      <x:c r="A42" s="130" t="str">
        <x:v>https://www.servicenow.com/docs/r/it-operations-management/discovery/r_DiscoveryPortsAndProtocols.html</x:v>
      </x:c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</x:row>
    <x:row r="43" ht="25" customHeight="1">
      <x:c r="A43" s="130" t="str">
        <x:v>ServiceNow / MID 网络连接</x:v>
      </x:c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</x:row>
    <x:row r="44" ht="25" customHeight="1">
      <x:c r="A44" s="130" t="str">
        <x:v>https://www.servicenow.com/docs/r/washingtondc/servicenow-platform/mid-server/t_ConfigMIDSvrConnecPrereq.html</x:v>
      </x:c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</x:row>
    <x:row r="45" ht="25" customHeight="1">
      <x:c r="A45" s="130" t="str">
        <x:v>ServiceNow / ACC 配置文件选项</x:v>
      </x:c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</x:row>
    <x:row r="46" ht="25" customHeight="1">
      <x:c r="A46" s="130" t="str">
        <x:v>https://www.servicenow.com/docs/r/it-operations-management/agent-client-collector/acc-yml-options.html</x:v>
      </x:c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</x:row>
    <x:row r="47" ht="25" customHeight="1">
      <x:c r="A47" s="130" t="str">
        <x:v>Microsoft / Windows Remote Management（Windows 远程管理）</x:v>
      </x:c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</x:row>
    <x:row r="48" ht="25" customHeight="1">
      <x:c r="A48" s="130" t="str">
        <x:v>https://learn.microsoft.com/ja-jp/windows/win32/winrm/installation-and-configuration-for-windows-remote-management</x:v>
      </x:c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</x:row>
    <x:row r="49" ht="25" customHeight="1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</x:row>
    <x:row r="50" ht="25" customHeight="1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</x:row>
    <x:row r="51" ht="25" customHeight="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</x:row>
    <x:row r="52" ht="25" customHeight="1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</x:row>
    <x:row r="53" ht="25" customHeight="1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</x:row>
    <x:row r="54" ht="25" customHeight="1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</x:row>
    <x:row r="55" ht="25" customHeight="1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</x:row>
    <x:row r="56" ht="25" customHeight="1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</x:row>
    <x:row r="57" ht="25" customHeight="1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</x:row>
    <x:row r="58" ht="25" customHeight="1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</x:row>
    <x:row r="59" ht="25" customHeight="1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</x:row>
    <x:row r="60" ht="25" customHeight="1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</x:row>
    <x:row r="61" ht="25" customHeight="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</x:row>
    <x:row r="62" ht="25" customHeight="1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</x:row>
    <x:row r="63" ht="25" customHeight="1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</x:row>
    <x:row r="64" ht="25" customHeight="1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</x:row>
    <x:row r="65" ht="25" customHeight="1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</x:row>
    <x:row r="66" ht="25" customHeight="1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</x:row>
    <x:row r="67" ht="25" customHeight="1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</x:row>
    <x:row r="68" ht="25" customHeight="1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</x:row>
    <x:row r="69" ht="25" customHeight="1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</x:row>
    <x:row r="70" ht="25" customHeight="1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</x:row>
  </x:sheetData>
  <x:conditionalFormatting sqref="J8:J18">
    <x:cfRule type="containsText" dxfId="6" priority="1" operator="containsText" text="待确认"/>
  </x:conditionalFormatting>
  <x:dataValidations count="1">
    <x:dataValidation type="list" sqref="J8:J18">
      <x:formula1>"待确认,确认中,已确定,范围外"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3C59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.78000020980835" hidden="0" customWidth="1"/>
    <x:col min="2" max="2" width="26.670000076293945" hidden="0" customWidth="1"/>
    <x:col min="3" max="3" width="1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779999732971191" hidden="0" customWidth="1"/>
    <x:col min="11" max="11" width="13.890000343322754" hidden="0" customWidth="1"/>
    <x:col min="12" max="12" width="29.440000534057617" hidden="0" customWidth="1"/>
  </x:cols>
  <x:sheetData>
    <x:row r="1" ht="25" customHeight="1">
      <x:c r="A1" s="127"/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</x:row>
    <x:row r="2" ht="25" customHeight="1">
      <x:c r="A2" s="128" t="str">
        <x:v>Discovery 通信量估算</x:v>
      </x:c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</x:row>
    <x:row r="3" ht="25" customHeight="1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</x:row>
    <x:row r="4" ht="25" customHeight="1">
      <x:c r="A4" s="127" t="str">
        <x:v>2026/10/01　v0.1　草稿</x:v>
      </x:c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</x:row>
    <x:row r="5" ht="25" customHeight="1">
      <x:c r="A5" s="130" t="str">
        <x:v>单位：MB＝1,000,000 bytes。在同一测量点汇总发送＋接收量。浅灰色＝经确认的实测值及数量填写栏，深灰色＝计算结果。</x:v>
      </x:c>
      <x:c r="B5" s="127"/>
      <x:c r="C5" s="127"/>
      <x:c r="D5" s="127"/>
      <x:c r="E5" s="127"/>
      <x:c r="F5" s="127"/>
      <x:c r="G5" s="127"/>
      <x:c r="H5" s="127"/>
      <x:c r="I5" s="127"/>
      <x:c r="J5" s="127"/>
      <x:c r="K5" s="127"/>
      <x:c r="L5" s="127"/>
    </x:row>
    <x:row r="6" ht="25" customHeight="1">
      <x:c r="A6" s="130" t="str">
        <x:v>区分“未测量”与零值。不适用的初始部署等项目，确认属于范围外后填写 0。各通信 ID 对应不同路径，不应简单合计所有行。</x:v>
      </x:c>
      <x:c r="B6" s="127"/>
      <x:c r="C6" s="127"/>
      <x:c r="D6" s="127"/>
      <x:c r="E6" s="127"/>
      <x:c r="F6" s="127"/>
      <x:c r="G6" s="127"/>
      <x:c r="H6" s="127"/>
      <x:c r="I6" s="127"/>
      <x:c r="J6" s="127"/>
      <x:c r="K6" s="127"/>
      <x:c r="L6" s="127"/>
    </x:row>
    <x:row r="7" ht="42" customHeight="1">
      <x:c r="A7" s="131" t="str">
        <x:v>通信 ID</x:v>
      </x:c>
      <x:c r="B7" s="132" t="str">
        <x:v>对象及测量范围</x:v>
      </x:c>
      <x:c r="C7" s="132" t="str">
        <x:v>单位基准定义</x:v>
      </x:c>
      <x:c r="D7" s="132" t="str">
        <x:v>初始部署
MB/单位</x:v>
      </x:c>
      <x:c r="E7" s="132" t="str">
        <x:v>首次采集
MB/单位</x:v>
      </x:c>
      <x:c r="F7" s="132" t="str">
        <x:v>定期
MB/单位基准</x:v>
      </x:c>
      <x:c r="G7" s="132" t="str">
        <x:v>对象单位数量
台/范围</x:v>
      </x:c>
      <x:c r="H7" s="132" t="str">
        <x:v>执行次数/日</x:v>
      </x:c>
      <x:c r="I7" s="132" t="str">
        <x:v>部署时总量
MB</x:v>
      </x:c>
      <x:c r="J7" s="132" t="str">
        <x:v>定期总量
MB/日</x:v>
      </x:c>
      <x:c r="K7" s="132" t="str">
        <x:v>采用的测量
记录 ID</x:v>
      </x:c>
      <x:c r="L7" s="133" t="str">
        <x:v>条件及补充说明</x:v>
      </x:c>
    </x:row>
    <x:row r="8" ht="54" customHeight="1">
      <x:c r="A8" s="134" t="str">
        <x:v>C01</x:v>
      </x:c>
      <x:c r="B8" s="134" t="str">
        <x:v>Housing / Windows
Horizontal Discovery</x:v>
      </x:c>
      <x:c r="C8" s="134" t="str">
        <x:v>1台/次</x:v>
      </x:c>
      <x:c r="D8" s="144"/>
      <x:c r="E8" s="144"/>
      <x:c r="F8" s="144"/>
      <x:c r="G8" s="145"/>
      <x:c r="H8" s="144"/>
      <x:c r="I8" s="146" t="str">
        <x:f>IF(COUNT(D8:E8,G8)&lt;3,"未填写",(D8+E8)*G8)</x:f>
        <x:v>未填写</x:v>
      </x:c>
      <x:c r="J8" s="146" t="str">
        <x:f>IF(COUNT(F8:H8)&lt;3,"未填写",F8*G8*H8)</x:f>
        <x:v>未填写</x:v>
      </x:c>
      <x:c r="K8" s="138"/>
      <x:c r="L8" s="134" t="str">
        <x:v>在对象、Pattern 及成功条件一致的情况下实测。首次采集与部署通信分开统计。</x:v>
      </x:c>
    </x:row>
    <x:row r="9" ht="54" customHeight="1">
      <x:c r="A9" s="135" t="str">
        <x:v>C02</x:v>
      </x:c>
      <x:c r="B9" s="135" t="str">
        <x:v>Housing / Linux
Horizontal Discovery</x:v>
      </x:c>
      <x:c r="C9" s="135" t="str">
        <x:v>1台/次</x:v>
      </x:c>
      <x:c r="D9" s="147"/>
      <x:c r="E9" s="147"/>
      <x:c r="F9" s="147"/>
      <x:c r="G9" s="148"/>
      <x:c r="H9" s="147"/>
      <x:c r="I9" s="149" t="str">
        <x:f>IF(COUNT(D9:E9,G9)&lt;3,"未填写",(D9+E9)*G9)</x:f>
        <x:v>未填写</x:v>
      </x:c>
      <x:c r="J9" s="149" t="str">
        <x:f>IF(COUNT(F9:H9)&lt;3,"未填写",F9*G9*H9)</x:f>
        <x:v>未填写</x:v>
      </x:c>
      <x:c r="K9" s="139"/>
      <x:c r="L9" s="135" t="str">
        <x:v>在对象、Pattern 及成功条件一致的情况下实测。首次采集与部署通信分开统计。</x:v>
      </x:c>
    </x:row>
    <x:row r="10" ht="54" customHeight="1">
      <x:c r="A10" s="136" t="str">
        <x:v>C03</x:v>
      </x:c>
      <x:c r="B10" s="136" t="str">
        <x:v>Hosting / Windows
Horizontal Discovery</x:v>
      </x:c>
      <x:c r="C10" s="136" t="str">
        <x:v>1台/次</x:v>
      </x:c>
      <x:c r="D10" s="147"/>
      <x:c r="E10" s="147"/>
      <x:c r="F10" s="147"/>
      <x:c r="G10" s="148"/>
      <x:c r="H10" s="147"/>
      <x:c r="I10" s="149" t="str">
        <x:f>IF(COUNT(D10:E10,G10)&lt;3,"未填写",(D10+E10)*G10)</x:f>
        <x:v>未填写</x:v>
      </x:c>
      <x:c r="J10" s="149" t="str">
        <x:f>IF(COUNT(F10:H10)&lt;3,"未填写",F10*G10*H10)</x:f>
        <x:v>未填写</x:v>
      </x:c>
      <x:c r="K10" s="139"/>
      <x:c r="L10" s="136" t="str">
        <x:v>在对象、Pattern 及成功条件一致的情况下实测。首次采集与部署通信分开统计。</x:v>
      </x:c>
    </x:row>
    <x:row r="11" ht="54" customHeight="1">
      <x:c r="A11" s="135" t="str">
        <x:v>C04</x:v>
      </x:c>
      <x:c r="B11" s="135" t="str">
        <x:v>Hosting / Linux
Horizontal Discovery</x:v>
      </x:c>
      <x:c r="C11" s="135" t="str">
        <x:v>1台/次</x:v>
      </x:c>
      <x:c r="D11" s="147"/>
      <x:c r="E11" s="147"/>
      <x:c r="F11" s="147"/>
      <x:c r="G11" s="148"/>
      <x:c r="H11" s="147"/>
      <x:c r="I11" s="149" t="str">
        <x:f>IF(COUNT(D11:E11,G11)&lt;3,"未填写",(D11+E11)*G11)</x:f>
        <x:v>未填写</x:v>
      </x:c>
      <x:c r="J11" s="149" t="str">
        <x:f>IF(COUNT(F11:H11)&lt;3,"未填写",F11*G11*H11)</x:f>
        <x:v>未填写</x:v>
      </x:c>
      <x:c r="K11" s="139"/>
      <x:c r="L11" s="135" t="str">
        <x:v>在对象、Pattern 及成功条件一致的情况下实测。首次采集与部署通信分开统计。</x:v>
      </x:c>
    </x:row>
    <x:row r="12" ht="54" customHeight="1">
      <x:c r="A12" s="136" t="str">
        <x:v>C05</x:v>
      </x:c>
      <x:c r="B12" s="136" t="str">
        <x:v>各站点 / Windows
Horizontal Discovery</x:v>
      </x:c>
      <x:c r="C12" s="136" t="str">
        <x:v>1台/次</x:v>
      </x:c>
      <x:c r="D12" s="147"/>
      <x:c r="E12" s="147"/>
      <x:c r="F12" s="147"/>
      <x:c r="G12" s="148"/>
      <x:c r="H12" s="147"/>
      <x:c r="I12" s="149" t="str">
        <x:f>IF(COUNT(D12:E12,G12)&lt;3,"未填写",(D12+E12)*G12)</x:f>
        <x:v>未填写</x:v>
      </x:c>
      <x:c r="J12" s="149" t="str">
        <x:f>IF(COUNT(F12:H12)&lt;3,"未填写",F12*G12*H12)</x:f>
        <x:v>未填写</x:v>
      </x:c>
      <x:c r="K12" s="139"/>
      <x:c r="L12" s="136" t="str">
        <x:v>在对象、Pattern 及成功条件一致的情况下实测。首次采集与部署通信分开统计。</x:v>
      </x:c>
    </x:row>
    <x:row r="13" ht="54" customHeight="1">
      <x:c r="A13" s="135" t="str">
        <x:v>C06</x:v>
      </x:c>
      <x:c r="B13" s="135" t="str">
        <x:v>各站点 / Linux
Horizontal Discovery</x:v>
      </x:c>
      <x:c r="C13" s="135" t="str">
        <x:v>1台/次</x:v>
      </x:c>
      <x:c r="D13" s="147"/>
      <x:c r="E13" s="147"/>
      <x:c r="F13" s="147"/>
      <x:c r="G13" s="148"/>
      <x:c r="H13" s="147"/>
      <x:c r="I13" s="149" t="str">
        <x:f>IF(COUNT(D13:E13,G13)&lt;3,"未填写",(D13+E13)*G13)</x:f>
        <x:v>未填写</x:v>
      </x:c>
      <x:c r="J13" s="149" t="str">
        <x:f>IF(COUNT(F13:H13)&lt;3,"未填写",F13*G13*H13)</x:f>
        <x:v>未填写</x:v>
      </x:c>
      <x:c r="K13" s="139"/>
      <x:c r="L13" s="135" t="str">
        <x:v>在对象、Pattern 及成功条件一致的情况下实测。首次采集与部署通信分开统计。</x:v>
      </x:c>
    </x:row>
    <x:row r="14" ht="54" customHeight="1">
      <x:c r="A14" s="136" t="str">
        <x:v>C07</x:v>
      </x:c>
      <x:c r="B14" s="136" t="str">
        <x:v>通用 / MID Server 与 ServiceNow</x:v>
      </x:c>
      <x:c r="C14" s="136" t="str">
        <x:v>MID 1台/日</x:v>
      </x:c>
      <x:c r="D14" s="147"/>
      <x:c r="E14" s="147"/>
      <x:c r="F14" s="147"/>
      <x:c r="G14" s="148"/>
      <x:c r="H14" s="147"/>
      <x:c r="I14" s="149" t="str">
        <x:f>IF(COUNT(D14:E14,G14)&lt;3,"未填写",(D14+E14)*G14)</x:f>
        <x:v>未填写</x:v>
      </x:c>
      <x:c r="J14" s="149" t="str">
        <x:f>IF(COUNT(F14:H14)&lt;3,"未填写",F14*G14*H14)</x:f>
        <x:v>未填写</x:v>
      </x:c>
      <x:c r="K14" s="139"/>
      <x:c r="L14" s="136" t="str">
        <x:v>定期单位基准填写 24 小时实测值。执行次数/日填写 1。首次采集按每台计。</x:v>
      </x:c>
    </x:row>
    <x:row r="15" ht="54" customHeight="1">
      <x:c r="A15" s="135" t="str">
        <x:v>C08</x:v>
      </x:c>
      <x:c r="B15" s="135" t="str">
        <x:v>Azure / Azure Cloud Discovery</x:v>
      </x:c>
      <x:c r="C15" s="135" t="str">
        <x:v>同一发现范围/次</x:v>
      </x:c>
      <x:c r="D15" s="147"/>
      <x:c r="E15" s="147"/>
      <x:c r="F15" s="147"/>
      <x:c r="G15" s="148"/>
      <x:c r="H15" s="147"/>
      <x:c r="I15" s="149" t="str">
        <x:f>IF(COUNT(D15:E15,G15)&lt;3,"未填写",(D15+E15)*G15)</x:f>
        <x:v>未填写</x:v>
      </x:c>
      <x:c r="J15" s="149" t="str">
        <x:f>IF(COUNT(F15:H15)&lt;3,"未填写",F15*G15*H15)</x:f>
        <x:v>未填写</x:v>
      </x:c>
      <x:c r="K15" s="139"/>
      <x:c r="L15" s="135" t="str">
        <x:v>Azure 不按 VM 台数统一换算。按与实测相同的 Subscription 及资源配置估算。</x:v>
      </x:c>
    </x:row>
    <x:row r="16" ht="54" customHeight="1">
      <x:c r="A16" s="136" t="str">
        <x:v>C09</x:v>
      </x:c>
      <x:c r="B16" s="136" t="str">
        <x:v>适用环境：待确认 / ACC 采集及通知
采用 MID 中转配置时</x:v>
      </x:c>
      <x:c r="C16" s="136" t="str">
        <x:v>ACC 1台/日</x:v>
      </x:c>
      <x:c r="D16" s="147"/>
      <x:c r="E16" s="147"/>
      <x:c r="F16" s="147"/>
      <x:c r="G16" s="148"/>
      <x:c r="H16" s="147"/>
      <x:c r="I16" s="149" t="str">
        <x:f>IF(COUNT(D16:E16,G16)&lt;3,"未填写",(D16+E16)*G16)</x:f>
        <x:v>未填写</x:v>
      </x:c>
      <x:c r="J16" s="149" t="str">
        <x:f>IF(COUNT(F16:H16)&lt;3,"未填写",F16*G16*H16)</x:f>
        <x:v>未填写</x:v>
      </x:c>
      <x:c r="K16" s="139"/>
      <x:c r="L16" s="136" t="str">
        <x:v>定期单位基准填写 24 小时实测值。执行次数/日填写 1。首次采集按每台计。</x:v>
      </x:c>
    </x:row>
    <x:row r="17" ht="54" customHeight="1">
      <x:c r="A17" s="135" t="str">
        <x:v>C10</x:v>
      </x:c>
      <x:c r="B17" s="135" t="str">
        <x:v>适用环境：待确认 / ACC 分发及更新</x:v>
      </x:c>
      <x:c r="C17" s="135" t="str">
        <x:v>1台/次</x:v>
      </x:c>
      <x:c r="D17" s="147"/>
      <x:c r="E17" s="147"/>
      <x:c r="F17" s="147"/>
      <x:c r="G17" s="148"/>
      <x:c r="H17" s="147"/>
      <x:c r="I17" s="149" t="str">
        <x:f>IF(COUNT(D17:E17,G17)&lt;3,"未填写",(D17+E17)*G17)</x:f>
        <x:v>未填写</x:v>
      </x:c>
      <x:c r="J17" s="149" t="str">
        <x:f>IF(COUNT(F17:H17)&lt;3,"未填写",F17*G17*H17)</x:f>
        <x:v>未填写</x:v>
      </x:c>
      <x:c r="K17" s="139"/>
      <x:c r="L17" s="135" t="str">
        <x:v>常规运行日，确认属于范围外后填写 0。更新日的通信量作为独立事件评估。</x:v>
      </x:c>
    </x:row>
    <x:row r="18" ht="54" customHeight="1">
      <x:c r="A18" s="137" t="str">
        <x:v>C11</x:v>
      </x:c>
      <x:c r="B18" s="137" t="str">
        <x:v>通用 / MID 分发及更新</x:v>
      </x:c>
      <x:c r="C18" s="137" t="str">
        <x:v>1台/次</x:v>
      </x:c>
      <x:c r="D18" s="150"/>
      <x:c r="E18" s="150"/>
      <x:c r="F18" s="150"/>
      <x:c r="G18" s="151"/>
      <x:c r="H18" s="150"/>
      <x:c r="I18" s="152" t="str">
        <x:f>IF(COUNT(D18:E18,G18)&lt;3,"未填写",(D18+E18)*G18)</x:f>
        <x:v>未填写</x:v>
      </x:c>
      <x:c r="J18" s="152" t="str">
        <x:f>IF(COUNT(F18:H18)&lt;3,"未填写",F18*G18*H18)</x:f>
        <x:v>未填写</x:v>
      </x:c>
      <x:c r="K18" s="140"/>
      <x:c r="L18" s="137" t="str">
        <x:v>常规运行日，确认属于范围外后填写 0。更新日的通信量作为独立事件评估。</x:v>
      </x:c>
    </x:row>
    <x:row r="19" ht="25" customHeight="1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</x:row>
    <x:row r="20" ht="25" customHeight="1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</x:row>
    <x:row r="21" ht="25" customHeight="1">
      <x:c r="A21" s="142" t="str">
        <x:v>估算方法</x:v>
      </x:c>
      <x:c r="B21" s="141"/>
      <x:c r="C21" s="141"/>
      <x:c r="D21" s="141"/>
      <x:c r="E21" s="141"/>
      <x:c r="F21" s="141"/>
      <x:c r="G21" s="141"/>
      <x:c r="H21" s="141"/>
      <x:c r="I21" s="141"/>
      <x:c r="J21" s="141"/>
      <x:c r="K21" s="141"/>
      <x:c r="L21" s="141"/>
    </x:row>
    <x:row r="22" ht="25" customHeight="1">
      <x:c r="A22" s="130" t="str">
        <x:v>部署时总量＝（初始部署＋首次采集）×对象单位数量。仅执行首次 Discovery 时，初始部署项经确认后填写 0。</x:v>
      </x:c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</x:row>
    <x:row r="23" ht="25" customHeight="1">
      <x:c r="A23" s="130" t="str">
        <x:v>定期总量＝定期单位基准×对象单位数量×执行次数/日。ACC 等使用按日实测值的项目，执行次数/日＝1。</x:v>
      </x:c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</x:row>
    <x:row r="24" ht="25" customHeight="1">
      <x:c r="A24" s="130" t="str">
        <x:v>选择代表性设备，在相同条件下多次测量，确认平均值及波动后采用。按对象数量简单等比例推算仅作为概算。</x:v>
      </x:c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</x:row>
    <x:row r="25" ht="25" customHeight="1">
      <x:c r="A25" s="130" t="str">
        <x:v>避免在 MID、FW 及目标设备重复统计同一数据包。评估线路时，仅选择通过该线路的通信 ID，去重后汇总。</x:v>
      </x:c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</x:row>
    <x:row r="26" ht="25" customHeight="1">
      <x:c r="A26" s="130" t="str">
        <x:v>仅凭通信量（MB）无法判断峰值带宽。客户需要评估带宽时，还应提供执行时间、并发执行数量及峰值。</x:v>
      </x:c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</x:row>
    <x:row r="27" ht="25" customHeight="1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</x:row>
    <x:row r="28" ht="25" customHeight="1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</x:row>
    <x:row r="29" ht="25" customHeight="1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</x:row>
    <x:row r="30" ht="25" customHeight="1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</x:row>
    <x:row r="31" ht="25" customHeight="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</x:row>
    <x:row r="32" ht="25" customHeight="1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</x:row>
    <x:row r="33" ht="25" customHeight="1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</x:row>
    <x:row r="34" ht="25" customHeight="1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</x:row>
    <x:row r="35" ht="25" customHeight="1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</x:row>
    <x:row r="36" ht="25" customHeight="1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</x:row>
    <x:row r="37" ht="25" customHeight="1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</x:row>
    <x:row r="38" ht="25" customHeight="1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</x:row>
    <x:row r="39" ht="25" customHeight="1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</x:row>
    <x:row r="40" ht="25" customHeight="1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</x:row>
    <x:row r="41" ht="25" customHeight="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</x:row>
    <x:row r="42" ht="25" customHeight="1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</x:row>
    <x:row r="43" ht="25" customHeight="1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</x:row>
    <x:row r="44" ht="25" customHeight="1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</x:row>
    <x:row r="45" ht="25" customHeight="1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</x:row>
    <x:row r="46" ht="25" customHeight="1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</x:row>
    <x:row r="47" ht="25" customHeight="1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</x:row>
    <x:row r="48" ht="25" customHeight="1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</x:row>
    <x:row r="49" ht="25" customHeight="1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</x:row>
    <x:row r="50" ht="25" customHeight="1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</x:row>
    <x:row r="51" ht="25" customHeight="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</x:row>
    <x:row r="52" ht="25" customHeight="1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</x:row>
    <x:row r="53" ht="25" customHeight="1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</x:row>
    <x:row r="54" ht="25" customHeight="1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</x:row>
    <x:row r="55" ht="25" customHeight="1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</x:row>
    <x:row r="56" ht="25" customHeight="1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</x:row>
    <x:row r="57" ht="25" customHeight="1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</x:row>
    <x:row r="58" ht="25" customHeight="1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</x:row>
    <x:row r="59" ht="25" customHeight="1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</x:row>
    <x:row r="60" ht="25" customHeight="1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</x:row>
    <x:row r="61" ht="25" customHeight="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</x:row>
    <x:row r="62" ht="25" customHeight="1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</x:row>
    <x:row r="63" ht="25" customHeight="1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</x:row>
    <x:row r="64" ht="25" customHeight="1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</x:row>
    <x:row r="65" ht="25" customHeight="1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</x:row>
    <x:row r="66" ht="25" customHeight="1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</x:row>
    <x:row r="67" ht="25" customHeight="1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</x:row>
    <x:row r="68" ht="25" customHeight="1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</x:row>
    <x:row r="69" ht="25" customHeight="1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</x:row>
    <x:row r="70" ht="25" customHeight="1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</x:row>
  </x:sheetData>
  <x:conditionalFormatting sqref="I8:J18">
    <x:cfRule type="containsText" dxfId="7" priority="1" operator="containsText" text="未填写"/>
  </x:conditionalFormatting>
  <x:dataValidations count="3">
    <x:dataValidation type="decimal" operator="greaterThanOrEqual" sqref="D8:F18">
      <x:formula1>0</x:formula1>
    </x:dataValidation>
    <x:dataValidation type="whole" operator="greaterThanOrEqual" sqref="G8:G18">
      <x:formula1>0</x:formula1>
    </x:dataValidation>
    <x:dataValidation type="decimal" operator="greaterThanOrEqual" sqref="H8:H18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3C59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.4399995803833" hidden="0" customWidth="1"/>
    <x:col min="2" max="2" width="9.4399995803833" hidden="0" customWidth="1"/>
    <x:col min="3" max="3" width="12.779999732971191" hidden="0" customWidth="1"/>
    <x:col min="4" max="4" width="9.4399995803833" hidden="0" customWidth="1"/>
    <x:col min="5" max="5" width="9.439999580383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3.329999923706055" hidden="0" customWidth="1"/>
    <x:col min="11" max="11" width="13.329999923706055" hidden="0" customWidth="1"/>
    <x:col min="12" max="12" width="14.4399995803833" hidden="0" customWidth="1"/>
    <x:col min="13" max="13" width="33.33000183105469" hidden="0" customWidth="1"/>
  </x:cols>
  <x:sheetData>
    <x:row r="1" ht="25" customHeight="1">
      <x:c r="A1" s="127"/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</x:row>
    <x:row r="2" ht="25" customHeight="1">
      <x:c r="A2" s="128" t="str">
        <x:v>通信量测量步骤与记录</x:v>
      </x:c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</x:row>
    <x:row r="3" ht="25" customHeight="1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</x:row>
    <x:row r="4" ht="25" customHeight="1">
      <x:c r="A4" s="127" t="str">
        <x:v>2026/10/01　v0.1　草稿</x:v>
      </x:c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</x:row>
    <x:row r="5" ht="25" customHeight="1">
      <x:c r="A5" s="130" t="str">
        <x:v>本记录表适用于累计计数器测量。请填写同一测量点经过筛选的数据。仅凭所有网卡（NIC）的计数差值，无法确定其属于 Discovery 通信量。</x:v>
      </x:c>
      <x:c r="B5" s="127"/>
      <x:c r="C5" s="127"/>
      <x:c r="D5" s="127"/>
      <x:c r="E5" s="127"/>
      <x:c r="F5" s="127"/>
      <x:c r="G5" s="127"/>
      <x:c r="H5" s="127"/>
      <x:c r="I5" s="127"/>
      <x:c r="J5" s="127"/>
      <x:c r="K5" s="127"/>
      <x:c r="L5" s="127"/>
      <x:c r="M5" s="127"/>
    </x:row>
    <x:row r="6" ht="25" customHeight="1">
      <x:c r="A6" s="130" t="str">
        <x:v>MB 换算系数</x:v>
      </x:c>
      <x:c r="B6" s="127"/>
      <x:c r="C6" s="153" t="n">
        <x:v>1000000</x:v>
      </x:c>
      <x:c r="D6" s="127"/>
      <x:c r="E6" s="127"/>
      <x:c r="F6" s="127"/>
      <x:c r="G6" s="127"/>
      <x:c r="H6" s="127"/>
      <x:c r="I6" s="127"/>
      <x:c r="J6" s="127"/>
      <x:c r="K6" s="127"/>
      <x:c r="L6" s="127"/>
      <x:c r="M6" s="127"/>
    </x:row>
    <x:row r="7" ht="42" customHeight="1">
      <x:c r="A7" s="131" t="str">
        <x:v>记录ID</x:v>
      </x:c>
      <x:c r="B7" s="132" t="str">
        <x:v>通信ID</x:v>
      </x:c>
      <x:c r="C7" s="132" t="str">
        <x:v>阶段</x:v>
      </x:c>
      <x:c r="D7" s="132" t="str">
        <x:v>对象单位数</x:v>
      </x:c>
      <x:c r="E7" s="132" t="str">
        <x:v>次数/天数</x:v>
      </x:c>
      <x:c r="F7" s="132" t="str">
        <x:v>发送前值
bytes</x:v>
      </x:c>
      <x:c r="G7" s="132" t="str">
        <x:v>发送后值
bytes</x:v>
      </x:c>
      <x:c r="H7" s="132" t="str">
        <x:v>接收前值
bytes</x:v>
      </x:c>
      <x:c r="I7" s="132" t="str">
        <x:v>接收后值
bytes</x:v>
      </x:c>
      <x:c r="J7" s="132" t="str">
        <x:v>排除通信量
bytes</x:v>
      </x:c>
      <x:c r="K7" s="132" t="str">
        <x:v>修正后
MB</x:v>
      </x:c>
      <x:c r="L7" s="132" t="str">
        <x:v>单位基准
MB</x:v>
      </x:c>
      <x:c r="M7" s="133" t="str">
        <x:v>测量条件与证据</x:v>
      </x:c>
    </x:row>
    <x:row r="8" ht="54" customHeight="1">
      <x:c r="A8" s="134" t="str">
        <x:v>R01</x:v>
      </x:c>
      <x:c r="B8" s="138"/>
      <x:c r="C8" s="138" t="str">
        <x:v>初始部署</x:v>
      </x:c>
      <x:c r="D8" s="145"/>
      <x:c r="E8" s="145"/>
      <x:c r="F8" s="145"/>
      <x:c r="G8" s="145"/>
      <x:c r="H8" s="145"/>
      <x:c r="I8" s="145"/>
      <x:c r="J8" s="145"/>
      <x:c r="K8" s="146" t="str">
        <x:f>IF(COUNT(F8:J8)&lt;5,"未填写",IF(OR(G8&lt;F8,I8&lt;H8,G8-F8+I8-H8&lt;J8),"需重新测量",(G8-F8+I8-H8-J8)/$C$6))</x:f>
        <x:v>未填写</x:v>
      </x:c>
      <x:c r="L8" s="146" t="str">
        <x:f>IF(COUNT(D8:E8)&lt;2,"未填写",IF(OR(D8&lt;=0,E8&lt;=0),"数量需确认",IF(ISNUMBER(K8),K8/D8/E8,K8)))</x:f>
        <x:v>未填写</x:v>
      </x:c>
      <x:c r="M8" s="138" t="str">
        <x:v>填写测量时间、地点、IP/端口筛选条件、对象、执行ID、耗时、成功数量、排除依据和日志保存位置。</x:v>
      </x:c>
    </x:row>
    <x:row r="9" ht="54" customHeight="1">
      <x:c r="A9" s="135" t="str">
        <x:v>R02</x:v>
      </x:c>
      <x:c r="B9" s="139"/>
      <x:c r="C9" s="139" t="str">
        <x:v>首次采集</x:v>
      </x:c>
      <x:c r="D9" s="148"/>
      <x:c r="E9" s="148"/>
      <x:c r="F9" s="148"/>
      <x:c r="G9" s="148"/>
      <x:c r="H9" s="148"/>
      <x:c r="I9" s="148"/>
      <x:c r="J9" s="148"/>
      <x:c r="K9" s="149" t="str">
        <x:f>IF(COUNT(F9:J9)&lt;5,"未填写",IF(OR(G9&lt;F9,I9&lt;H9,G9-F9+I9-H9&lt;J9),"需重新测量",(G9-F9+I9-H9-J9)/$C$6))</x:f>
        <x:v>未填写</x:v>
      </x:c>
      <x:c r="L9" s="149" t="str">
        <x:f>IF(COUNT(D9:E9)&lt;2,"未填写",IF(OR(D9&lt;=0,E9&lt;=0),"数量需确认",IF(ISNUMBER(K9),K9/D9/E9,K9)))</x:f>
        <x:v>未填写</x:v>
      </x:c>
      <x:c r="M9" s="139" t="str">
        <x:v>填写测量时间、地点、IP/端口筛选条件、对象、执行ID、耗时、成功数量、排除依据和日志保存位置。</x:v>
      </x:c>
    </x:row>
    <x:row r="10" ht="54" customHeight="1">
      <x:c r="A10" s="136" t="str">
        <x:v>R03</x:v>
      </x:c>
      <x:c r="B10" s="139"/>
      <x:c r="C10" s="139" t="str">
        <x:v>定期采集</x:v>
      </x:c>
      <x:c r="D10" s="148"/>
      <x:c r="E10" s="148"/>
      <x:c r="F10" s="148"/>
      <x:c r="G10" s="148"/>
      <x:c r="H10" s="148"/>
      <x:c r="I10" s="148"/>
      <x:c r="J10" s="148"/>
      <x:c r="K10" s="149" t="str">
        <x:f>IF(COUNT(F10:J10)&lt;5,"未填写",IF(OR(G10&lt;F10,I10&lt;H10,G10-F10+I10-H10&lt;J10),"需重新测量",(G10-F10+I10-H10-J10)/$C$6))</x:f>
        <x:v>未填写</x:v>
      </x:c>
      <x:c r="L10" s="149" t="str">
        <x:f>IF(COUNT(D10:E10)&lt;2,"未填写",IF(OR(D10&lt;=0,E10&lt;=0),"数量需确认",IF(ISNUMBER(K10),K10/D10/E10,K10)))</x:f>
        <x:v>未填写</x:v>
      </x:c>
      <x:c r="M10" s="139" t="str">
        <x:v>填写测量时间、地点、IP/端口筛选条件、对象、执行ID、耗时、成功数量、排除依据和日志保存位置。</x:v>
      </x:c>
    </x:row>
    <x:row r="11" ht="54" customHeight="1">
      <x:c r="A11" s="135" t="str">
        <x:v>R04</x:v>
      </x:c>
      <x:c r="B11" s="139"/>
      <x:c r="C11" s="139" t="str">
        <x:v>定期采集</x:v>
      </x:c>
      <x:c r="D11" s="148"/>
      <x:c r="E11" s="148"/>
      <x:c r="F11" s="148"/>
      <x:c r="G11" s="148"/>
      <x:c r="H11" s="148"/>
      <x:c r="I11" s="148"/>
      <x:c r="J11" s="148"/>
      <x:c r="K11" s="149" t="str">
        <x:f>IF(COUNT(F11:J11)&lt;5,"未填写",IF(OR(G11&lt;F11,I11&lt;H11,G11-F11+I11-H11&lt;J11),"需重新测量",(G11-F11+I11-H11-J11)/$C$6))</x:f>
        <x:v>未填写</x:v>
      </x:c>
      <x:c r="L11" s="149" t="str">
        <x:f>IF(COUNT(D11:E11)&lt;2,"未填写",IF(OR(D11&lt;=0,E11&lt;=0),"数量需确认",IF(ISNUMBER(K11),K11/D11/E11,K11)))</x:f>
        <x:v>未填写</x:v>
      </x:c>
      <x:c r="M11" s="139" t="str">
        <x:v>填写测量时间、地点、IP/端口筛选条件、对象、执行ID、耗时、成功数量、排除依据和日志保存位置。</x:v>
      </x:c>
    </x:row>
    <x:row r="12" ht="54" customHeight="1">
      <x:c r="A12" s="136" t="str">
        <x:v>R05</x:v>
      </x:c>
      <x:c r="B12" s="139"/>
      <x:c r="C12" s="139" t="str">
        <x:v>定期采集</x:v>
      </x:c>
      <x:c r="D12" s="148"/>
      <x:c r="E12" s="148"/>
      <x:c r="F12" s="148"/>
      <x:c r="G12" s="148"/>
      <x:c r="H12" s="148"/>
      <x:c r="I12" s="148"/>
      <x:c r="J12" s="148"/>
      <x:c r="K12" s="149" t="str">
        <x:f>IF(COUNT(F12:J12)&lt;5,"未填写",IF(OR(G12&lt;F12,I12&lt;H12,G12-F12+I12-H12&lt;J12),"需重新测量",(G12-F12+I12-H12-J12)/$C$6))</x:f>
        <x:v>未填写</x:v>
      </x:c>
      <x:c r="L12" s="149" t="str">
        <x:f>IF(COUNT(D12:E12)&lt;2,"未填写",IF(OR(D12&lt;=0,E12&lt;=0),"数量需确认",IF(ISNUMBER(K12),K12/D12/E12,K12)))</x:f>
        <x:v>未填写</x:v>
      </x:c>
      <x:c r="M12" s="139" t="str">
        <x:v>填写测量时间、地点、IP/端口筛选条件、对象、执行ID、耗时、成功数量、排除依据和日志保存位置。</x:v>
      </x:c>
    </x:row>
    <x:row r="13" ht="54" customHeight="1">
      <x:c r="A13" s="135" t="str">
        <x:v>R06</x:v>
      </x:c>
      <x:c r="B13" s="139"/>
      <x:c r="C13" s="139" t="str">
        <x:v>ACC常规24小时</x:v>
      </x:c>
      <x:c r="D13" s="148"/>
      <x:c r="E13" s="148"/>
      <x:c r="F13" s="148"/>
      <x:c r="G13" s="148"/>
      <x:c r="H13" s="148"/>
      <x:c r="I13" s="148"/>
      <x:c r="J13" s="148"/>
      <x:c r="K13" s="149" t="str">
        <x:f>IF(COUNT(F13:J13)&lt;5,"未填写",IF(OR(G13&lt;F13,I13&lt;H13,G13-F13+I13-H13&lt;J13),"需重新测量",(G13-F13+I13-H13-J13)/$C$6))</x:f>
        <x:v>未填写</x:v>
      </x:c>
      <x:c r="L13" s="149" t="str">
        <x:f>IF(COUNT(D13:E13)&lt;2,"未填写",IF(OR(D13&lt;=0,E13&lt;=0),"数量需确认",IF(ISNUMBER(K13),K13/D13/E13,K13)))</x:f>
        <x:v>未填写</x:v>
      </x:c>
      <x:c r="M13" s="139" t="str">
        <x:v>填写测量时间、地点、IP/端口筛选条件、对象、执行ID、耗时、成功数量、排除依据和日志保存位置。</x:v>
      </x:c>
    </x:row>
    <x:row r="14" ht="54" customHeight="1">
      <x:c r="A14" s="136" t="str">
        <x:v>R07</x:v>
      </x:c>
      <x:c r="B14" s="139"/>
      <x:c r="C14" s="139" t="str">
        <x:v>更新</x:v>
      </x:c>
      <x:c r="D14" s="148"/>
      <x:c r="E14" s="148"/>
      <x:c r="F14" s="148"/>
      <x:c r="G14" s="148"/>
      <x:c r="H14" s="148"/>
      <x:c r="I14" s="148"/>
      <x:c r="J14" s="148"/>
      <x:c r="K14" s="149" t="str">
        <x:f>IF(COUNT(F14:J14)&lt;5,"未填写",IF(OR(G14&lt;F14,I14&lt;H14,G14-F14+I14-H14&lt;J14),"需重新测量",(G14-F14+I14-H14-J14)/$C$6))</x:f>
        <x:v>未填写</x:v>
      </x:c>
      <x:c r="L14" s="149" t="str">
        <x:f>IF(COUNT(D14:E14)&lt;2,"未填写",IF(OR(D14&lt;=0,E14&lt;=0),"数量需确认",IF(ISNUMBER(K14),K14/D14/E14,K14)))</x:f>
        <x:v>未填写</x:v>
      </x:c>
      <x:c r="M14" s="139" t="str">
        <x:v>填写测量时间、地点、IP/端口筛选条件、对象、执行ID、耗时、成功数量、排除依据和日志保存位置。</x:v>
      </x:c>
    </x:row>
    <x:row r="15" ht="54" customHeight="1">
      <x:c r="A15" s="143" t="str">
        <x:v>R08</x:v>
      </x:c>
      <x:c r="B15" s="140"/>
      <x:c r="C15" s="140" t="str">
        <x:v>背景通信</x:v>
      </x:c>
      <x:c r="D15" s="151"/>
      <x:c r="E15" s="151"/>
      <x:c r="F15" s="151"/>
      <x:c r="G15" s="151"/>
      <x:c r="H15" s="151"/>
      <x:c r="I15" s="151"/>
      <x:c r="J15" s="151"/>
      <x:c r="K15" s="152" t="str">
        <x:f>IF(COUNT(F15:J15)&lt;5,"未填写",IF(OR(G15&lt;F15,I15&lt;H15,G15-F15+I15-H15&lt;J15),"需重新测量",(G15-F15+I15-H15-J15)/$C$6))</x:f>
        <x:v>未填写</x:v>
      </x:c>
      <x:c r="L15" s="152" t="str">
        <x:f>IF(COUNT(D15:E15)&lt;2,"未填写",IF(OR(D15&lt;=0,E15&lt;=0),"数量需确认",IF(ISNUMBER(K15),K15/D15/E15,K15)))</x:f>
        <x:v>未填写</x:v>
      </x:c>
      <x:c r="M15" s="140" t="str">
        <x:v>填写测量时间、地点、IP/端口筛选条件、对象、执行ID、耗时、成功数量、排除依据和日志保存位置。</x:v>
      </x:c>
    </x:row>
    <x:row r="16" ht="25" customHeight="1">
      <x:c r="A16" s="127"/>
      <x:c r="B16" s="127"/>
      <x:c r="C16" s="127"/>
      <x:c r="D16" s="127"/>
      <x:c r="E16" s="127"/>
      <x:c r="F16" s="127"/>
      <x:c r="G16" s="127"/>
      <x:c r="H16" s="127"/>
      <x:c r="I16" s="127"/>
      <x:c r="J16" s="127"/>
      <x:c r="K16" s="127"/>
      <x:c r="L16" s="127"/>
      <x:c r="M16" s="127"/>
    </x:row>
    <x:row r="17" ht="25" customHeight="1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  <x:c r="K17" s="127"/>
      <x:c r="L17" s="127"/>
      <x:c r="M17" s="127"/>
    </x:row>
    <x:row r="18" ht="25" customHeight="1">
      <x:c r="A18" s="142" t="str">
        <x:v>测量步骤</x:v>
      </x:c>
      <x:c r="B18" s="141"/>
      <x:c r="C18" s="141"/>
      <x:c r="D18" s="141"/>
      <x:c r="E18" s="141"/>
      <x:c r="F18" s="141"/>
      <x:c r="G18" s="141"/>
      <x:c r="H18" s="141"/>
      <x:c r="I18" s="141"/>
      <x:c r="J18" s="141"/>
      <x:c r="K18" s="141"/>
      <x:c r="L18" s="141"/>
      <x:c r="M18" s="141"/>
    </x:row>
    <x:row r="19" ht="25" customHeight="1">
      <x:c r="A19" s="130" t="str">
        <x:v>1. 确定范围：按通信ID固定通信源、通信目的地、端口和测量位置。</x:v>
      </x:c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</x:row>
    <x:row r="20" ht="25" customHeight="1">
      <x:c r="A20" s="130" t="str">
        <x:v>记录与确认：记录产品版本、OS、对象数量、调查内容及 Proxy/NAT。采用条件：能够追溯通信路径及通信量构成。</x:v>
      </x:c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</x:row>
    <x:row r="21" ht="25" customHeight="1">
      <x:c r="A21" s="130" t="str">
        <x:v>2. 背景通信：停止 Discovery，在相同条件的时段测量背景通信量。</x:v>
      </x:c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</x:row>
    <x:row r="22" ht="25" customHeight="1">
      <x:c r="A22" s="130" t="str">
        <x:v>记录与确认：通过 FW/Proxy 日志或抓包识别通信。是否计入 ACC heartbeat 等常规通信，应根据评估目的确定。采用条件：排除背景通信时，保留依据和测量时段。</x:v>
      </x:c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</x:row>
    <x:row r="23" ht="25" customHeight="1">
      <x:c r="A23" s="130" t="str">
        <x:v>3. 初始部署：单独测量 MID/ACC 安装、分发和首次下载产生的通信量。</x:v>
      </x:c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</x:row>
    <x:row r="24" ht="25" customHeight="1">
      <x:c r="A24" s="130" t="str">
        <x:v>记录与确认：区分 OS 更新、其他软件下载、是否使用缓存及插件分发。采用条件：不得与首次采集、常规运行的通信量混合。</x:v>
      </x:c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</x:row>
    <x:row r="25" ht="25" customHeight="1">
      <x:c r="A25" s="130" t="str">
        <x:v>4. 首次采集：部署完成后，执行首次 Discovery 或 ACC 首次采集。</x:v>
      </x:c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</x:row>
    <x:row r="26" ht="25" customHeight="1">
      <x:c r="A26" s="130" t="str">
        <x:v>记录与确认：记录执行前后的计数器值、执行ID、成功对象数量及耗时。采用条件：明确标注失败、中途终止和重试产生的通信量。</x:v>
      </x:c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</x:row>
    <x:row r="27" ht="25" customHeight="1">
      <x:c r="A27" s="130" t="str">
        <x:v>5. 定期采集：在相同条件下，多次测量定期 Discovery 通信量。ACC 还需测量常规运行24小时的通信量。</x:v>
      </x:c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</x:row>
    <x:row r="28" ht="25" customHeight="1">
      <x:c r="A28" s="130" t="str">
        <x:v>记录与确认：记录发送与接收合计、平均值、最大值、对象数量和执行周期。采用条件：不得混淆1台/次、范围/次和1台/日的计量基准。</x:v>
      </x:c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</x:row>
    <x:row r="29" ht="25" customHeight="1">
      <x:c r="A29" s="130" t="str">
        <x:v>6. 采用与估算：将采用值和记录ID填写到“通信量估算”。</x:v>
      </x:c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</x:row>
    <x:row r="30" ht="25" customHeight="1">
      <x:c r="A30" s="130" t="str">
        <x:v>记录与确认：注明实测条件与估算对象的差异、对象数量、执行频率，以及排除或追加的通信量。采用条件：与客户评估的线路相对应。</x:v>
      </x:c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</x:row>
    <x:row r="31" ht="25" customHeight="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</x:row>
    <x:row r="32" ht="25" customHeight="1">
      <x:c r="A32" s="142" t="str">
        <x:v>计算方法与既有数据的处理</x:v>
      </x:c>
      <x:c r="B32" s="141"/>
      <x:c r="C32" s="141"/>
      <x:c r="D32" s="141"/>
      <x:c r="E32" s="141"/>
      <x:c r="F32" s="141"/>
      <x:c r="G32" s="141"/>
      <x:c r="H32" s="141"/>
      <x:c r="I32" s="141"/>
      <x:c r="J32" s="141"/>
      <x:c r="K32" s="141"/>
      <x:c r="L32" s="141"/>
      <x:c r="M32" s="141"/>
    </x:row>
    <x:row r="33" ht="25" customHeight="1">
      <x:c r="A33" s="130" t="str">
        <x:v>修正后MB＝（发送后值−发送前值＋接收后值−接收前值−排除通信量）÷1,000,000。确认没有需排除的通信量时，填写0。</x:v>
      </x:c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</x:row>
    <x:row r="34" ht="25" customHeight="1">
      <x:c r="A34" s="130" t="str">
        <x:v>计数器重置、差值为负或排除量过大时，显示“需重新测量”。扣除背景通信量仅属于参考估算，应尽可能直接提取目标通信的数据。</x:v>
      </x:c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</x:row>
    <x:row r="35" ht="25" customHeight="1">
      <x:c r="A35" s="130" t="str">
        <x:v>单位基准＝修正后MB÷对象单位数量÷次数。测量 ACC 常规运行24小时通信量时，在“次数/天数”中填写测量天数，以 MB/台/日为单位。</x:v>
      </x:c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</x:row>
    <x:row r="36" ht="25" customHeight="1">
      <x:c r="A36" s="130" t="str">
        <x:v>既有7.3GB数据需确认测量期间、测量范围、部署/更新等构成及 GB/GiB 单位后再评估。本表尚未将其作为 Discovery 实测值填入。</x:v>
      </x:c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</x:row>
    <x:row r="37" ht="25" customHeight="1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</x:row>
    <x:row r="38" ht="25" customHeight="1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</x:row>
    <x:row r="39" ht="25" customHeight="1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</x:row>
    <x:row r="40" ht="25" customHeight="1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</x:row>
    <x:row r="41" ht="25" customHeight="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</x:row>
    <x:row r="42" ht="25" customHeight="1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</x:row>
    <x:row r="43" ht="25" customHeight="1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</x:row>
    <x:row r="44" ht="25" customHeight="1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</x:row>
    <x:row r="45" ht="25" customHeight="1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</x:row>
    <x:row r="46" ht="25" customHeight="1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</x:row>
    <x:row r="47" ht="25" customHeight="1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</x:row>
    <x:row r="48" ht="25" customHeight="1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</x:row>
    <x:row r="49" ht="25" customHeight="1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</x:row>
    <x:row r="50" ht="25" customHeight="1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</x:row>
    <x:row r="51" ht="25" customHeight="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</x:row>
    <x:row r="52" ht="25" customHeight="1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</x:row>
    <x:row r="53" ht="25" customHeight="1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</x:row>
    <x:row r="54" ht="25" customHeight="1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</x:row>
    <x:row r="55" ht="25" customHeight="1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</x:row>
    <x:row r="56" ht="25" customHeight="1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</x:row>
    <x:row r="57" ht="25" customHeight="1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</x:row>
    <x:row r="58" ht="25" customHeight="1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</x:row>
    <x:row r="59" ht="25" customHeight="1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</x:row>
    <x:row r="60" ht="25" customHeight="1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</x:row>
    <x:row r="61" ht="25" customHeight="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</x:row>
    <x:row r="62" ht="25" customHeight="1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</x:row>
    <x:row r="63" ht="25" customHeight="1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</x:row>
    <x:row r="64" ht="25" customHeight="1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</x:row>
    <x:row r="65" ht="25" customHeight="1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</x:row>
    <x:row r="66" ht="25" customHeight="1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</x:row>
    <x:row r="67" ht="25" customHeight="1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</x:row>
    <x:row r="68" ht="25" customHeight="1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</x:row>
    <x:row r="69" ht="25" customHeight="1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</x:row>
    <x:row r="70" ht="25" customHeight="1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</x:row>
  </x:sheetData>
  <x:conditionalFormatting sqref="K8:L15">
    <x:cfRule type="containsText" dxfId="8" priority="1" operator="containsText" text="需"/>
  </x:conditionalFormatting>
  <x:dataValidations count="2">
    <x:dataValidation type="list" sqref="B8:B15">
      <x:formula1>"C01,C02,C03,C04,C05,C06,C07,C08,C09,C10,C11"</x:formula1>
    </x:dataValidation>
    <x:dataValidation type="list" sqref="C8:C15">
      <x:formula1>"初始部署,首次采集,定期采集,ACC常规24小时,更新,背景通信"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33C59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890000343322754" hidden="0" customWidth="1"/>
    <x:col min="2" max="2" width="26.110000610351562" hidden="0" customWidth="1"/>
    <x:col min="3" max="3" width="42.220001220703125" hidden="0" customWidth="1"/>
    <x:col min="4" max="4" width="37.779998779296875" hidden="0" customWidth="1"/>
    <x:col min="5" max="5" width="26.670000076293945" hidden="0" customWidth="1"/>
    <x:col min="6" max="6" width="14.4399995803833" hidden="0" customWidth="1"/>
  </x:cols>
  <x:sheetData>
    <x:row r="1" ht="25" customHeight="1">
      <x:c r="A1" s="127"/>
      <x:c r="B1" s="127"/>
      <x:c r="C1" s="127"/>
      <x:c r="D1" s="127"/>
      <x:c r="E1" s="127"/>
      <x:c r="F1" s="127"/>
    </x:row>
    <x:row r="2" ht="25" customHeight="1">
      <x:c r="A2" s="128" t="str">
        <x:v>Discovery 测试用例文档 目录草案</x:v>
      </x:c>
      <x:c r="B2" s="127"/>
      <x:c r="C2" s="127"/>
      <x:c r="D2" s="127"/>
      <x:c r="E2" s="127"/>
      <x:c r="F2" s="127"/>
    </x:row>
    <x:row r="3" ht="25" customHeight="1">
      <x:c r="A3" s="129"/>
      <x:c r="B3" s="129"/>
      <x:c r="C3" s="129"/>
      <x:c r="D3" s="129"/>
      <x:c r="E3" s="129"/>
      <x:c r="F3" s="129"/>
    </x:row>
    <x:row r="4" ht="25" customHeight="1">
      <x:c r="A4" s="127" t="str">
        <x:v>2026/10/01　v0.1　草稿</x:v>
      </x:c>
      <x:c r="B4" s="127"/>
      <x:c r="C4" s="127"/>
      <x:c r="D4" s="127"/>
      <x:c r="E4" s="127"/>
      <x:c r="F4" s="127"/>
    </x:row>
    <x:row r="5" ht="25" customHeight="1">
      <x:c r="A5" s="130" t="str">
        <x:v>范围：通信要求、初始部署、首次采集、定期执行、采集结果、通信量。以下为目录草案。范围外的方式和环境将在确认后排除。</x:v>
      </x:c>
      <x:c r="B5" s="127"/>
      <x:c r="C5" s="127"/>
      <x:c r="D5" s="127"/>
      <x:c r="E5" s="127"/>
      <x:c r="F5" s="127"/>
    </x:row>
    <x:row r="6" ht="25" customHeight="1">
      <x:c r="A6" s="130" t="str">
        <x:v>测试用例正文需补充步骤、预期结果、实测结果和证据后编制。</x:v>
      </x:c>
      <x:c r="B6" s="127"/>
      <x:c r="C6" s="127"/>
      <x:c r="D6" s="127"/>
      <x:c r="E6" s="127"/>
      <x:c r="F6" s="127"/>
    </x:row>
    <x:row r="7" ht="42" customHeight="1">
      <x:c r="A7" s="131" t="str">
        <x:v>章</x:v>
      </x:c>
      <x:c r="B7" s="132" t="str">
        <x:v>章节标题</x:v>
      </x:c>
      <x:c r="C7" s="132" t="str">
        <x:v>主要项目与检查要点</x:v>
      </x:c>
      <x:c r="D7" s="132" t="str">
        <x:v>预期结果与判定标准（草案）</x:v>
      </x:c>
      <x:c r="E7" s="132" t="str">
        <x:v>相关通信 ID 与证据</x:v>
      </x:c>
      <x:c r="F7" s="133" t="str">
        <x:v>范围状态</x:v>
      </x:c>
    </x:row>
    <x:row r="8" ht="54" customHeight="1">
      <x:c r="A8" s="134" t="str">
        <x:v>1</x:v>
      </x:c>
      <x:c r="B8" s="134" t="str">
        <x:v>测试概述</x:v>
      </x:c>
      <x:c r="C8" s="134" t="str">
        <x:v>目的、测试范围、范围外事项、测试类型、日程、负责人</x:v>
      </x:c>
      <x:c r="D8" s="134" t="str">
        <x:v>明确各环境的测试范围与确认责任。</x:v>
      </x:c>
      <x:c r="E8" s="134" t="str">
        <x:v>测试范围清单、设计文档</x:v>
      </x:c>
      <x:c r="F8" s="138" t="str">
        <x:v>待确认</x:v>
      </x:c>
    </x:row>
    <x:row r="9" ht="54" customHeight="1">
      <x:c r="A9" s="135" t="str">
        <x:v>2</x:v>
      </x:c>
      <x:c r="B9" s="135" t="str">
        <x:v>前提条件与环境配置</x:v>
      </x:c>
      <x:c r="C9" s="135" t="str">
        <x:v>SN/MID/ACC 版本、目标 OS 与台数、Azure 范围、凭据、网络配置</x:v>
      </x:c>
      <x:c r="D9" s="135" t="str">
        <x:v>测试所需的权限与配置已准备完毕。</x:v>
      </x:c>
      <x:c r="E9" s="135" t="str">
        <x:v>架构图、配置清单</x:v>
      </x:c>
      <x:c r="F9" s="139" t="str">
        <x:v>待确认</x:v>
      </x:c>
    </x:row>
    <x:row r="10" ht="54" customHeight="1">
      <x:c r="A10" s="136" t="str">
        <x:v>3</x:v>
      </x:c>
      <x:c r="B10" s="136" t="str">
        <x:v>通信要求与连通性检查</x:v>
      </x:c>
      <x:c r="C10" s="136" t="str">
        <x:v>各环境（Housing/Hosting/站点）的通信源、目的地、方向、端口，以及 FW/Proxy/NAT、DNS/TLS</x:v>
      </x:c>
      <x:c r="D10" s="136" t="str">
        <x:v>所采用的通信路径可正常连通，无不必要的额外放行。</x:v>
      </x:c>
      <x:c r="E10" s="136" t="str">
        <x:v>C01～C11 中采用的行
FW/Proxy 日志</x:v>
      </x:c>
      <x:c r="F10" s="139" t="str">
        <x:v>待确认</x:v>
      </x:c>
    </x:row>
    <x:row r="11" ht="54" customHeight="1">
      <x:c r="A11" s="135" t="str">
        <x:v>4</x:v>
      </x:c>
      <x:c r="B11" s="135" t="str">
        <x:v>MID 部署与连接</x:v>
      </x:c>
      <x:c r="C11" s="135" t="str">
        <x:v>部署、启动、实例连接、更新路径</x:v>
      </x:c>
      <x:c r="D11" s="135" t="str">
        <x:v>MID 可用，与实例通信正常。</x:v>
      </x:c>
      <x:c r="E11" s="135" t="str">
        <x:v>C07、C11
MID 日志、界面</x:v>
      </x:c>
      <x:c r="F11" s="139" t="str">
        <x:v>待确认</x:v>
      </x:c>
    </x:row>
    <x:row r="12" ht="54" customHeight="1">
      <x:c r="A12" s="136" t="str">
        <x:v>5</x:v>
      </x:c>
      <x:c r="B12" s="136" t="str">
        <x:v>Horizontal Discovery</x:v>
      </x:c>
      <x:c r="C12" s="136" t="str">
        <x:v>Windows/Linux 首次采集、定期 Schedule、测试范围、采集属性</x:v>
      </x:c>
      <x:c r="D12" s="136" t="str">
        <x:v>采集已约定的目标与属性，并将结果写入 CMDB。</x:v>
      </x:c>
      <x:c r="E12" s="136" t="str">
        <x:v>C01～C06
Discovery 执行历史</x:v>
      </x:c>
      <x:c r="F12" s="139" t="str">
        <x:v>待确认</x:v>
      </x:c>
    </x:row>
    <x:row r="13" ht="54" customHeight="1">
      <x:c r="A13" s="135" t="str">
        <x:v>6</x:v>
      </x:c>
      <x:c r="B13" s="135" t="str">
        <x:v>Azure Cloud Discovery</x:v>
      </x:c>
      <x:c r="C13" s="135" t="str">
        <x:v>认证、发现范围、API 连接、首次与定期采集、采集资源</x:v>
      </x:c>
      <x:c r="D13" s="135" t="str">
        <x:v>采集已约定范围内的资源，可区分权限问题与范围外事项。</x:v>
      </x:c>
      <x:c r="E13" s="135" t="str">
        <x:v>C08
执行历史、Azure 日志</x:v>
      </x:c>
      <x:c r="F13" s="139" t="str">
        <x:v>待确认</x:v>
      </x:c>
    </x:row>
    <x:row r="14" ht="54" customHeight="1">
      <x:c r="A14" s="136" t="str">
        <x:v>7</x:v>
      </x:c>
      <x:c r="B14" s="136" t="str">
        <x:v>ACC 部署与采集</x:v>
      </x:c>
      <x:c r="C14" s="136" t="str">
        <x:v>分发、注册、首次采集、日常运行、附加组件与更新</x:v>
      </x:c>
      <x:c r="D14" s="136" t="str">
        <x:v>按采用的配置成功连接并采集，定期采集结果已反映。</x:v>
      </x:c>
      <x:c r="E14" s="136" t="str">
        <x:v>C09、C10
ACC 日志、采集结果</x:v>
      </x:c>
      <x:c r="F14" s="139" t="str">
        <x:v>待确认</x:v>
      </x:c>
    </x:row>
    <x:row r="15" ht="54" customHeight="1">
      <x:c r="A15" s="135" t="str">
        <x:v>8</x:v>
      </x:c>
      <x:c r="B15" s="135" t="str">
        <x:v>CMDB 登记与更新</x:v>
      </x:c>
      <x:c r="C15" s="135" t="str">
        <x:v>目标 CI 的识别键、属性、关系、重新执行时的更新</x:v>
      </x:c>
      <x:c r="D15" s="135" t="str">
        <x:v>现有 CI 按设计更新，不产生不当重复。</x:v>
      </x:c>
      <x:c r="E15" s="135" t="str">
        <x:v>CI 记录、执行前后对比</x:v>
      </x:c>
      <x:c r="F15" s="139" t="str">
        <x:v>待确认</x:v>
      </x:c>
    </x:row>
    <x:row r="16" ht="54" customHeight="1">
      <x:c r="A16" s="136" t="str">
        <x:v>9</x:v>
      </x:c>
      <x:c r="B16" s="136" t="str">
        <x:v>通信量与执行时间</x:v>
      </x:c>
      <x:c r="C16" s="136" t="str">
        <x:v>按初始部署/首次采集/定期采集划分，发送与接收、背景通信、目标数量与频率、峰值</x:v>
      </x:c>
      <x:c r="D16" s="136" t="str">
        <x:v>实测范围可追溯，可按已约定的通信量与时间标准判定。数值标准另行商定。</x:v>
      </x:c>
      <x:c r="E16" s="136" t="str">
        <x:v>通信量估算、测量记录
通信日志</x:v>
      </x:c>
      <x:c r="F16" s="139" t="str">
        <x:v>待确认</x:v>
      </x:c>
    </x:row>
    <x:row r="17" ht="54" customHeight="1">
      <x:c r="A17" s="135" t="str">
        <x:v>10</x:v>
      </x:c>
      <x:c r="B17" s="135" t="str">
        <x:v>异常处理与重新执行</x:v>
      </x:c>
      <x:c r="C17" s="135" t="str">
        <x:v>认证失败、FW 拦截、目标停机、API 限制、重试</x:v>
      </x:c>
      <x:c r="D17" s="135" t="str">
        <x:v>在可实施的异常条件下可追溯原因，恢复后正常完成。</x:v>
      </x:c>
      <x:c r="E17" s="135" t="str">
        <x:v>目标执行 ID、错误日志</x:v>
      </x:c>
      <x:c r="F17" s="139" t="str">
        <x:v>待确认</x:v>
      </x:c>
    </x:row>
    <x:row r="18" ht="54" customHeight="1">
      <x:c r="A18" s="136" t="str">
        <x:v>11</x:v>
      </x:c>
      <x:c r="B18" s="136" t="str">
        <x:v>结果与问题管理</x:v>
      </x:c>
      <x:c r="C18" s="136" t="str">
        <x:v>结果清单、未完成用例、缺陷、重新测试、遗留问题</x:v>
      </x:c>
      <x:c r="D18" s="136" t="str">
        <x:v>记录结果、问题以及重新测试的判定。</x:v>
      </x:c>
      <x:c r="E18" s="136" t="str">
        <x:v>结果表、问题清单</x:v>
      </x:c>
      <x:c r="F18" s="139" t="str">
        <x:v>待确认</x:v>
      </x:c>
    </x:row>
    <x:row r="19" ht="54" customHeight="1">
      <x:c r="A19" s="143" t="str">
        <x:v>12</x:v>
      </x:c>
      <x:c r="B19" s="143" t="str">
        <x:v>证据清单</x:v>
      </x:c>
      <x:c r="C19" s="143" t="str">
        <x:v>界面、配置、日志、通信量测量资料、保存位置</x:v>
      </x:c>
      <x:c r="D19" s="143" t="str">
        <x:v>可从各用例追溯相应证据。</x:v>
      </x:c>
      <x:c r="E19" s="143" t="str">
        <x:v>证据文件清单</x:v>
      </x:c>
      <x:c r="F19" s="140" t="str">
        <x:v>待确认</x:v>
      </x:c>
    </x:row>
    <x:row r="20" ht="25" customHeight="1">
      <x:c r="A20" s="127"/>
      <x:c r="B20" s="127"/>
      <x:c r="C20" s="127"/>
      <x:c r="D20" s="127"/>
      <x:c r="E20" s="127"/>
      <x:c r="F20" s="127"/>
    </x:row>
    <x:row r="21" ht="25" customHeight="1">
      <x:c r="A21" s="127"/>
      <x:c r="B21" s="127"/>
      <x:c r="C21" s="127"/>
      <x:c r="D21" s="127"/>
      <x:c r="E21" s="127"/>
      <x:c r="F21" s="127"/>
    </x:row>
    <x:row r="22" ht="25" customHeight="1">
      <x:c r="A22" s="142" t="str">
        <x:v>测试用例正文填写项目</x:v>
      </x:c>
      <x:c r="B22" s="141"/>
      <x:c r="C22" s="141"/>
      <x:c r="D22" s="141"/>
      <x:c r="E22" s="141"/>
      <x:c r="F22" s="141"/>
    </x:row>
    <x:row r="23" ht="42" customHeight="1">
      <x:c r="A23" s="131" t="str">
        <x:v>项目</x:v>
      </x:c>
      <x:c r="B23" s="132" t="str">
        <x:v>内容</x:v>
      </x:c>
      <x:c r="C23" s="132" t="str">
        <x:v>项目</x:v>
      </x:c>
      <x:c r="D23" s="133" t="str">
        <x:v>内容</x:v>
      </x:c>
      <x:c r="E23" s="127"/>
      <x:c r="F23" s="127"/>
    </x:row>
    <x:row r="24" ht="54" customHeight="1">
      <x:c r="A24" s="134" t="str">
        <x:v>用例 ID</x:v>
      </x:c>
      <x:c r="B24" s="134" t="str">
        <x:v>示例：TC-NW-001</x:v>
      </x:c>
      <x:c r="C24" s="134" t="str">
        <x:v>测试环境与通信 ID</x:v>
      </x:c>
      <x:c r="D24" s="134" t="str">
        <x:v>Housing / C01 等</x:v>
      </x:c>
      <x:c r="E24" s="127"/>
      <x:c r="F24" s="127"/>
    </x:row>
    <x:row r="25" ht="54" customHeight="1">
      <x:c r="A25" s="135" t="str">
        <x:v>前提条件</x:v>
      </x:c>
      <x:c r="B25" s="135" t="str">
        <x:v>配置、目标、认证、FW 放行、Schedule</x:v>
      </x:c>
      <x:c r="C25" s="135" t="str">
        <x:v>执行步骤</x:v>
      </x:c>
      <x:c r="D25" s="135" t="str">
        <x:v>按顺序记录操作、输入与测量方法</x:v>
      </x:c>
      <x:c r="E25" s="127"/>
      <x:c r="F25" s="127"/>
    </x:row>
    <x:row r="26" ht="54" customHeight="1">
      <x:c r="A26" s="136" t="str">
        <x:v>预期结果与判定标准</x:v>
      </x:c>
      <x:c r="B26" s="136" t="str">
        <x:v>已约定的采集项目、条件与数值标准</x:v>
      </x:c>
      <x:c r="C26" s="136" t="str">
        <x:v>实测结果与判定</x:v>
      </x:c>
      <x:c r="D26" s="136" t="str">
        <x:v>实测值、OK / NG / 未执行</x:v>
      </x:c>
      <x:c r="E26" s="127"/>
      <x:c r="F26" s="127"/>
    </x:row>
    <x:row r="27" ht="54" customHeight="1">
      <x:c r="A27" s="135" t="str">
        <x:v>证据</x:v>
      </x:c>
      <x:c r="B27" s="135" t="str">
        <x:v>日志、执行 ID、界面、测量记录 ID</x:v>
      </x:c>
      <x:c r="C27" s="135" t="str">
        <x:v>执行人员与日期</x:v>
      </x:c>
      <x:c r="D27" s="135" t="str">
        <x:v>负责人、执行日期时间</x:v>
      </x:c>
      <x:c r="E27" s="127"/>
      <x:c r="F27" s="127"/>
    </x:row>
    <x:row r="28" ht="54" customHeight="1">
      <x:c r="A28" s="137" t="str">
        <x:v>问题与重新测试</x:v>
      </x:c>
      <x:c r="B28" s="137" t="str">
        <x:v>问题 ID、处理措施、重新执行结果</x:v>
      </x:c>
      <x:c r="C28" s="137" t="str">
        <x:v>评审</x:v>
      </x:c>
      <x:c r="D28" s="137" t="str">
        <x:v>确认人、确认日期、遗留事项</x:v>
      </x:c>
      <x:c r="E28" s="127"/>
      <x:c r="F28" s="127"/>
    </x:row>
    <x:row r="29" ht="25" customHeight="1">
      <x:c r="A29" s="127"/>
      <x:c r="B29" s="127"/>
      <x:c r="C29" s="127"/>
      <x:c r="D29" s="127"/>
      <x:c r="E29" s="127"/>
      <x:c r="F29" s="127"/>
    </x:row>
    <x:row r="30" ht="25" customHeight="1">
      <x:c r="A30" s="127"/>
      <x:c r="B30" s="127"/>
      <x:c r="C30" s="127"/>
      <x:c r="D30" s="127"/>
      <x:c r="E30" s="127"/>
      <x:c r="F30" s="127"/>
    </x:row>
    <x:row r="31" ht="25" customHeight="1">
      <x:c r="A31" s="127"/>
      <x:c r="B31" s="127"/>
      <x:c r="C31" s="127"/>
      <x:c r="D31" s="127"/>
      <x:c r="E31" s="127"/>
      <x:c r="F31" s="127"/>
    </x:row>
    <x:row r="32" ht="25" customHeight="1">
      <x:c r="A32" s="127"/>
      <x:c r="B32" s="127"/>
      <x:c r="C32" s="127"/>
      <x:c r="D32" s="127"/>
      <x:c r="E32" s="127"/>
      <x:c r="F32" s="127"/>
    </x:row>
    <x:row r="33" ht="25" customHeight="1">
      <x:c r="A33" s="127"/>
      <x:c r="B33" s="127"/>
      <x:c r="C33" s="127"/>
      <x:c r="D33" s="127"/>
      <x:c r="E33" s="127"/>
      <x:c r="F33" s="127"/>
    </x:row>
    <x:row r="34" ht="25" customHeight="1">
      <x:c r="A34" s="127"/>
      <x:c r="B34" s="127"/>
      <x:c r="C34" s="127"/>
      <x:c r="D34" s="127"/>
      <x:c r="E34" s="127"/>
      <x:c r="F34" s="127"/>
    </x:row>
    <x:row r="35" ht="25" customHeight="1">
      <x:c r="A35" s="127"/>
      <x:c r="B35" s="127"/>
      <x:c r="C35" s="127"/>
      <x:c r="D35" s="127"/>
      <x:c r="E35" s="127"/>
      <x:c r="F35" s="127"/>
    </x:row>
    <x:row r="36" ht="25" customHeight="1">
      <x:c r="A36" s="127"/>
      <x:c r="B36" s="127"/>
      <x:c r="C36" s="127"/>
      <x:c r="D36" s="127"/>
      <x:c r="E36" s="127"/>
      <x:c r="F36" s="127"/>
    </x:row>
    <x:row r="37" ht="25" customHeight="1">
      <x:c r="A37" s="127"/>
      <x:c r="B37" s="127"/>
      <x:c r="C37" s="127"/>
      <x:c r="D37" s="127"/>
      <x:c r="E37" s="127"/>
      <x:c r="F37" s="127"/>
    </x:row>
    <x:row r="38" ht="25" customHeight="1">
      <x:c r="A38" s="127"/>
      <x:c r="B38" s="127"/>
      <x:c r="C38" s="127"/>
      <x:c r="D38" s="127"/>
      <x:c r="E38" s="127"/>
      <x:c r="F38" s="127"/>
    </x:row>
    <x:row r="39" ht="25" customHeight="1">
      <x:c r="A39" s="127"/>
      <x:c r="B39" s="127"/>
      <x:c r="C39" s="127"/>
      <x:c r="D39" s="127"/>
      <x:c r="E39" s="127"/>
      <x:c r="F39" s="127"/>
    </x:row>
    <x:row r="40" ht="25" customHeight="1">
      <x:c r="A40" s="127"/>
      <x:c r="B40" s="127"/>
      <x:c r="C40" s="127"/>
      <x:c r="D40" s="127"/>
      <x:c r="E40" s="127"/>
      <x:c r="F40" s="127"/>
    </x:row>
    <x:row r="41" ht="25" customHeight="1">
      <x:c r="A41" s="127"/>
      <x:c r="B41" s="127"/>
      <x:c r="C41" s="127"/>
      <x:c r="D41" s="127"/>
      <x:c r="E41" s="127"/>
      <x:c r="F41" s="127"/>
    </x:row>
    <x:row r="42" ht="25" customHeight="1">
      <x:c r="A42" s="127"/>
      <x:c r="B42" s="127"/>
      <x:c r="C42" s="127"/>
      <x:c r="D42" s="127"/>
      <x:c r="E42" s="127"/>
      <x:c r="F42" s="127"/>
    </x:row>
    <x:row r="43" ht="25" customHeight="1">
      <x:c r="A43" s="127"/>
      <x:c r="B43" s="127"/>
      <x:c r="C43" s="127"/>
      <x:c r="D43" s="127"/>
      <x:c r="E43" s="127"/>
      <x:c r="F43" s="127"/>
    </x:row>
    <x:row r="44" ht="25" customHeight="1">
      <x:c r="A44" s="127"/>
      <x:c r="B44" s="127"/>
      <x:c r="C44" s="127"/>
      <x:c r="D44" s="127"/>
      <x:c r="E44" s="127"/>
      <x:c r="F44" s="127"/>
    </x:row>
    <x:row r="45" ht="25" customHeight="1">
      <x:c r="A45" s="127"/>
      <x:c r="B45" s="127"/>
      <x:c r="C45" s="127"/>
      <x:c r="D45" s="127"/>
      <x:c r="E45" s="127"/>
      <x:c r="F45" s="127"/>
    </x:row>
    <x:row r="46" ht="25" customHeight="1">
      <x:c r="A46" s="127"/>
      <x:c r="B46" s="127"/>
      <x:c r="C46" s="127"/>
      <x:c r="D46" s="127"/>
      <x:c r="E46" s="127"/>
      <x:c r="F46" s="127"/>
    </x:row>
    <x:row r="47" ht="25" customHeight="1">
      <x:c r="A47" s="127"/>
      <x:c r="B47" s="127"/>
      <x:c r="C47" s="127"/>
      <x:c r="D47" s="127"/>
      <x:c r="E47" s="127"/>
      <x:c r="F47" s="127"/>
    </x:row>
    <x:row r="48" ht="25" customHeight="1">
      <x:c r="A48" s="127"/>
      <x:c r="B48" s="127"/>
      <x:c r="C48" s="127"/>
      <x:c r="D48" s="127"/>
      <x:c r="E48" s="127"/>
      <x:c r="F48" s="127"/>
    </x:row>
    <x:row r="49" ht="25" customHeight="1">
      <x:c r="A49" s="127"/>
      <x:c r="B49" s="127"/>
      <x:c r="C49" s="127"/>
      <x:c r="D49" s="127"/>
      <x:c r="E49" s="127"/>
      <x:c r="F49" s="127"/>
    </x:row>
    <x:row r="50" ht="25" customHeight="1">
      <x:c r="A50" s="127"/>
      <x:c r="B50" s="127"/>
      <x:c r="C50" s="127"/>
      <x:c r="D50" s="127"/>
      <x:c r="E50" s="127"/>
      <x:c r="F50" s="127"/>
    </x:row>
    <x:row r="51" ht="25" customHeight="1">
      <x:c r="A51" s="127"/>
      <x:c r="B51" s="127"/>
      <x:c r="C51" s="127"/>
      <x:c r="D51" s="127"/>
      <x:c r="E51" s="127"/>
      <x:c r="F51" s="127"/>
    </x:row>
    <x:row r="52" ht="25" customHeight="1">
      <x:c r="A52" s="127"/>
      <x:c r="B52" s="127"/>
      <x:c r="C52" s="127"/>
      <x:c r="D52" s="127"/>
      <x:c r="E52" s="127"/>
      <x:c r="F52" s="127"/>
    </x:row>
    <x:row r="53" ht="25" customHeight="1">
      <x:c r="A53" s="127"/>
      <x:c r="B53" s="127"/>
      <x:c r="C53" s="127"/>
      <x:c r="D53" s="127"/>
      <x:c r="E53" s="127"/>
      <x:c r="F53" s="127"/>
    </x:row>
    <x:row r="54" ht="25" customHeight="1">
      <x:c r="A54" s="127"/>
      <x:c r="B54" s="127"/>
      <x:c r="C54" s="127"/>
      <x:c r="D54" s="127"/>
      <x:c r="E54" s="127"/>
      <x:c r="F54" s="127"/>
    </x:row>
    <x:row r="55" ht="25" customHeight="1">
      <x:c r="A55" s="127"/>
      <x:c r="B55" s="127"/>
      <x:c r="C55" s="127"/>
      <x:c r="D55" s="127"/>
      <x:c r="E55" s="127"/>
      <x:c r="F55" s="127"/>
    </x:row>
    <x:row r="56" ht="25" customHeight="1">
      <x:c r="A56" s="127"/>
      <x:c r="B56" s="127"/>
      <x:c r="C56" s="127"/>
      <x:c r="D56" s="127"/>
      <x:c r="E56" s="127"/>
      <x:c r="F56" s="127"/>
    </x:row>
    <x:row r="57" ht="25" customHeight="1">
      <x:c r="A57" s="127"/>
      <x:c r="B57" s="127"/>
      <x:c r="C57" s="127"/>
      <x:c r="D57" s="127"/>
      <x:c r="E57" s="127"/>
      <x:c r="F57" s="127"/>
    </x:row>
    <x:row r="58" ht="25" customHeight="1">
      <x:c r="A58" s="127"/>
      <x:c r="B58" s="127"/>
      <x:c r="C58" s="127"/>
      <x:c r="D58" s="127"/>
      <x:c r="E58" s="127"/>
      <x:c r="F58" s="127"/>
    </x:row>
    <x:row r="59" ht="25" customHeight="1">
      <x:c r="A59" s="127"/>
      <x:c r="B59" s="127"/>
      <x:c r="C59" s="127"/>
      <x:c r="D59" s="127"/>
      <x:c r="E59" s="127"/>
      <x:c r="F59" s="127"/>
    </x:row>
    <x:row r="60" ht="25" customHeight="1">
      <x:c r="A60" s="127"/>
      <x:c r="B60" s="127"/>
      <x:c r="C60" s="127"/>
      <x:c r="D60" s="127"/>
      <x:c r="E60" s="127"/>
      <x:c r="F60" s="127"/>
    </x:row>
    <x:row r="61" ht="25" customHeight="1">
      <x:c r="A61" s="127"/>
      <x:c r="B61" s="127"/>
      <x:c r="C61" s="127"/>
      <x:c r="D61" s="127"/>
      <x:c r="E61" s="127"/>
      <x:c r="F61" s="127"/>
    </x:row>
    <x:row r="62" ht="25" customHeight="1">
      <x:c r="A62" s="127"/>
      <x:c r="B62" s="127"/>
      <x:c r="C62" s="127"/>
      <x:c r="D62" s="127"/>
      <x:c r="E62" s="127"/>
      <x:c r="F62" s="127"/>
    </x:row>
    <x:row r="63" ht="25" customHeight="1">
      <x:c r="A63" s="127"/>
      <x:c r="B63" s="127"/>
      <x:c r="C63" s="127"/>
      <x:c r="D63" s="127"/>
      <x:c r="E63" s="127"/>
      <x:c r="F63" s="127"/>
    </x:row>
    <x:row r="64" ht="25" customHeight="1">
      <x:c r="A64" s="127"/>
      <x:c r="B64" s="127"/>
      <x:c r="C64" s="127"/>
      <x:c r="D64" s="127"/>
      <x:c r="E64" s="127"/>
      <x:c r="F64" s="127"/>
    </x:row>
    <x:row r="65" ht="25" customHeight="1">
      <x:c r="A65" s="127"/>
      <x:c r="B65" s="127"/>
      <x:c r="C65" s="127"/>
      <x:c r="D65" s="127"/>
      <x:c r="E65" s="127"/>
      <x:c r="F65" s="127"/>
    </x:row>
    <x:row r="66" ht="25" customHeight="1">
      <x:c r="A66" s="127"/>
      <x:c r="B66" s="127"/>
      <x:c r="C66" s="127"/>
      <x:c r="D66" s="127"/>
      <x:c r="E66" s="127"/>
      <x:c r="F66" s="127"/>
    </x:row>
    <x:row r="67" ht="25" customHeight="1">
      <x:c r="A67" s="127"/>
      <x:c r="B67" s="127"/>
      <x:c r="C67" s="127"/>
      <x:c r="D67" s="127"/>
      <x:c r="E67" s="127"/>
      <x:c r="F67" s="127"/>
    </x:row>
    <x:row r="68" ht="25" customHeight="1">
      <x:c r="A68" s="127"/>
      <x:c r="B68" s="127"/>
      <x:c r="C68" s="127"/>
      <x:c r="D68" s="127"/>
      <x:c r="E68" s="127"/>
      <x:c r="F68" s="127"/>
    </x:row>
    <x:row r="69" ht="25" customHeight="1">
      <x:c r="A69" s="127"/>
      <x:c r="B69" s="127"/>
      <x:c r="C69" s="127"/>
      <x:c r="D69" s="127"/>
      <x:c r="E69" s="127"/>
      <x:c r="F69" s="127"/>
    </x:row>
    <x:row r="70" ht="25" customHeight="1">
      <x:c r="A70" s="127"/>
      <x:c r="B70" s="127"/>
      <x:c r="C70" s="127"/>
      <x:c r="D70" s="127"/>
      <x:c r="E70" s="127"/>
      <x:c r="F70" s="127"/>
    </x:row>
  </x:sheetData>
  <x:dataValidations count="1">
    <x:dataValidation type="list" sqref="F8:F19">
      <x:formula1>"待确认,范围内,范围外"</x:formula1>
    </x:dataValidation>
  </x:dataValidations>
  <x:pageMargins left="0.7" right="0.7" top="0.75" bottom="0.75" header="0.3" footer="0.3"/>
</x:worksheet>
</file>