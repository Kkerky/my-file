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79940b01244d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需求与分工" sheetId="1" r:id="Rfd09121623054fca"/>
    <x:sheet xmlns:r="http://schemas.openxmlformats.org/officeDocument/2006/relationships" name="02_通信要件" sheetId="2" r:id="R89d61a245aed4d06"/>
    <x:sheet xmlns:r="http://schemas.openxmlformats.org/officeDocument/2006/relationships" name="03_通信量与概算" sheetId="3" r:id="R13a71e5e0527475d"/>
    <x:sheet xmlns:r="http://schemas.openxmlformats.org/officeDocument/2006/relationships" name="04_PoC实测记录" sheetId="4" r:id="Rf7e1989f852b43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0"/>
    <x:numFmt numFmtId="201" formatCode="0"/>
    <x:numFmt numFmtId="202" formatCode="0.000000"/>
    <x:numFmt numFmtId="203" formatCode="yyyy-mm-dd hh:mm"/>
    <x:numFmt numFmtId="204" formatCode="#,##0"/>
    <x:numFmt numFmtId="205" formatCode="0.000"/>
  </x:numFmts>
  <x:fonts count="5">
    <x:font>
      <x:sz val="11"/>
      <x:name val="Carlito"/>
    </x:font>
    <x:font>
      <x:sz val="10"/>
      <x:color rgb="FF222222"/>
      <x:name val="Microsoft YaHei"/>
    </x:font>
    <x:font>
      <x:b/>
      <x:sz val="14"/>
      <x:color rgb="FF222222"/>
      <x:name val="Microsoft YaHei"/>
    </x:font>
    <x:font>
      <x:b/>
      <x:sz val="10"/>
      <x:color rgb="FFFFFFFF"/>
      <x:name val="Microsoft YaHei"/>
    </x:font>
    <x:font>
      <x:b/>
      <x:sz val="10"/>
      <x:color rgb="FF222222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444444"/>
      </x:patternFill>
    </x:fill>
    <x:fill>
      <x:patternFill patternType="solid">
        <x:fgColor rgb="FFE5E5E5"/>
      </x:patternFill>
    </x:fill>
  </x:fills>
  <x:borders count="8">
    <x:border/>
    <x:border>
      <x:bottom style="thin">
        <x:color rgb="FF888888"/>
      </x:bottom>
    </x:border>
    <x:border>
      <x:bottom style="thin">
        <x:color rgb="FFDDDDDD"/>
      </x:bottom>
    </x:border>
    <x:border>
      <x:top style="thin">
        <x:color rgb="FFDDDDDD"/>
      </x:top>
      <x:bottom style="thin">
        <x:color rgb="FFDDDDDD"/>
      </x:bottom>
    </x:border>
    <x:border>
      <x:top style="thin">
        <x:color rgb="FFDDDDDD"/>
      </x:top>
    </x:border>
    <x:border>
      <x:right style="thin">
        <x:color rgb="FFFFFFFF"/>
      </x:right>
      <x:bottom style="thin">
        <x:color rgb="FFDDDDDD"/>
      </x:bottom>
    </x:border>
    <x:border>
      <x:left style="thin">
        <x:color rgb="FFFFFFFF"/>
      </x:left>
      <x:right style="thin">
        <x:color rgb="FFFFFFFF"/>
      </x:right>
      <x:bottom style="thin">
        <x:color rgb="FFDDDDDD"/>
      </x:bottom>
    </x:border>
    <x:border>
      <x:left style="thin">
        <x:color rgb="FFFFFFFF"/>
      </x:left>
      <x:bottom style="thin">
        <x:color rgb="FFDDDDDD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0" fontId="1" fillId="5" borderId="4" xfId="0" applyNumberFormat="1" applyFont="1" applyFill="1" applyBorder="1" applyAlignment="1">
      <x:alignment vertical="center" wrapText="1"/>
    </x:xf>
    <x:xf numFmtId="200" fontId="1" fillId="5" borderId="3" xfId="0" applyNumberFormat="1" applyFont="1" applyFill="1" applyBorder="1" applyAlignment="1">
      <x:alignment vertical="center" wrapText="1"/>
    </x:xf>
    <x:xf numFmtId="200" fontId="1" fillId="3" borderId="3" xfId="0" applyNumberFormat="1" applyFont="1" applyFill="1" applyBorder="1" applyAlignment="1">
      <x:alignment vertical="center" wrapText="1"/>
    </x:xf>
    <x:xf numFmtId="200" fontId="1" fillId="5" borderId="4" xfId="0" applyNumberFormat="1" applyFont="1" applyFill="1" applyBorder="1" applyAlignment="1">
      <x:alignment vertical="center" wrapText="1"/>
    </x:xf>
    <x:xf numFmtId="200" fontId="1" fillId="3" borderId="4" xfId="0" applyNumberFormat="1" applyFont="1" applyFill="1" applyBorder="1" applyAlignment="1">
      <x:alignment vertical="center" wrapText="1"/>
    </x:xf>
    <x:xf numFmtId="201" fontId="1" fillId="3" borderId="3" xfId="0" applyNumberFormat="1" applyFont="1" applyFill="1" applyBorder="1" applyAlignment="1">
      <x:alignment vertical="center" wrapText="1"/>
    </x:xf>
    <x:xf numFmtId="201" fontId="1" fillId="3" borderId="4" xfId="0" applyNumberFormat="1" applyFont="1" applyFill="1" applyBorder="1" applyAlignment="1">
      <x:alignment vertical="center" wrapText="1"/>
    </x:xf>
    <x:xf numFmtId="202" fontId="1" fillId="5" borderId="3" xfId="0" applyNumberFormat="1" applyFont="1" applyFill="1" applyBorder="1" applyAlignment="1">
      <x:alignment vertical="center" wrapText="1"/>
    </x:xf>
    <x:xf numFmtId="202" fontId="1" fillId="5" borderId="4" xfId="0" applyNumberFormat="1" applyFont="1" applyFill="1" applyBorder="1" applyAlignment="1">
      <x:alignment vertical="center" wrapText="1"/>
    </x:xf>
    <x:xf numFmtId="202" fontId="1" fillId="3" borderId="3" xfId="0" applyNumberFormat="1" applyFont="1" applyFill="1" applyBorder="1" applyAlignment="1">
      <x:alignment vertical="center" wrapText="1"/>
    </x:xf>
    <x:xf numFmtId="202" fontId="1" fillId="3" borderId="4" xfId="0" applyNumberFormat="1" applyFont="1" applyFill="1" applyBorder="1" applyAlignment="1">
      <x:alignment vertical="center" wrapText="1"/>
    </x:xf>
    <x:xf numFmtId="202" fontId="1" fillId="3" borderId="3" xfId="0" applyNumberFormat="1" applyFont="1" applyFill="1" applyBorder="1" applyAlignment="1">
      <x:alignment horizontal="center" vertical="center" wrapText="1"/>
    </x:xf>
    <x:xf numFmtId="202" fontId="1" fillId="3" borderId="4" xfId="0" applyNumberFormat="1" applyFont="1" applyFill="1" applyBorder="1" applyAlignment="1">
      <x:alignment horizontal="center" vertical="center" wrapText="1"/>
    </x:xf>
    <x:xf numFmtId="200" fontId="1" fillId="5" borderId="3" xfId="0" applyNumberFormat="1" applyFont="1" applyFill="1" applyBorder="1" applyAlignment="1">
      <x:alignment horizontal="center" vertical="center" wrapText="1"/>
    </x:xf>
    <x:xf numFmtId="202" fontId="1" fillId="5" borderId="3" xfId="0" applyNumberFormat="1" applyFont="1" applyFill="1" applyBorder="1" applyAlignment="1">
      <x:alignment horizontal="center" vertical="center" wrapText="1"/>
    </x:xf>
    <x:xf numFmtId="200" fontId="1" fillId="5" borderId="4" xfId="0" applyNumberFormat="1" applyFont="1" applyFill="1" applyBorder="1" applyAlignment="1">
      <x:alignment horizontal="center" vertical="center" wrapText="1"/>
    </x:xf>
    <x:xf numFmtId="202" fontId="1" fillId="5" borderId="4" xfId="0" applyNumberFormat="1" applyFont="1" applyFill="1" applyBorder="1" applyAlignment="1">
      <x:alignment horizontal="center" vertical="center" wrapText="1"/>
    </x:xf>
    <x:xf numFmtId="203" fontId="1" fillId="3" borderId="3" xfId="0" applyNumberFormat="1" applyFont="1" applyFill="1" applyBorder="1" applyAlignment="1">
      <x:alignment vertical="center" wrapText="1"/>
    </x:xf>
    <x:xf numFmtId="203" fontId="1" fillId="3" borderId="4" xfId="0" applyNumberFormat="1" applyFont="1" applyFill="1" applyBorder="1" applyAlignment="1">
      <x:alignment vertical="center" wrapText="1"/>
    </x:xf>
    <x:xf numFmtId="204" fontId="1" fillId="3" borderId="3" xfId="0" applyNumberFormat="1" applyFont="1" applyFill="1" applyBorder="1" applyAlignment="1">
      <x:alignment vertical="center" wrapText="1"/>
    </x:xf>
    <x:xf numFmtId="204" fontId="1" fillId="3" borderId="4" xfId="0" applyNumberFormat="1" applyFont="1" applyFill="1" applyBorder="1" applyAlignment="1">
      <x:alignment vertical="center" wrapText="1"/>
    </x:xf>
    <x:xf numFmtId="205" fontId="1" fillId="3" borderId="3" xfId="0" applyNumberFormat="1" applyFont="1" applyFill="1" applyBorder="1" applyAlignment="1">
      <x:alignment vertical="center" wrapText="1"/>
    </x:xf>
    <x:xf numFmtId="205" fontId="1" fillId="3" borderId="4" xfId="0" applyNumberFormat="1" applyFont="1" applyFill="1" applyBorder="1" applyAlignment="1">
      <x:alignment vertical="center" wrapText="1"/>
    </x:xf>
    <x:xf numFmtId="201" fontId="1" fillId="3" borderId="3" xfId="0" applyNumberFormat="1" applyFont="1" applyFill="1" applyBorder="1" applyAlignment="1">
      <x:alignment horizontal="center" vertical="center" wrapText="1"/>
    </x:xf>
    <x:xf numFmtId="205" fontId="1" fillId="3" borderId="3" xfId="0" applyNumberFormat="1" applyFont="1" applyFill="1" applyBorder="1" applyAlignment="1">
      <x:alignment horizontal="center" vertical="center" wrapText="1"/>
    </x:xf>
    <x:xf numFmtId="201" fontId="1" fillId="3" borderId="4" xfId="0" applyNumberFormat="1" applyFont="1" applyFill="1" applyBorder="1" applyAlignment="1">
      <x:alignment horizontal="center" vertical="center" wrapText="1"/>
    </x:xf>
    <x:xf numFmtId="205" fontId="1" fillId="3" borderId="4" xfId="0" applyNumberFormat="1" applyFont="1" applyFill="1" applyBorder="1" applyAlignment="1">
      <x:alignment horizontal="center" vertical="center" wrapText="1"/>
    </x:xf>
    <x:xf numFmtId="205" fontId="1" fillId="5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0b0676cd574d4d" /><Relationship Type="http://schemas.openxmlformats.org/officeDocument/2006/relationships/theme" Target="/xl/theme/theme1.xml" Id="R8e54b1dafd5d4b77" /><Relationship Type="http://schemas.openxmlformats.org/officeDocument/2006/relationships/sharedStrings" Target="/xl/sharedStrings.xml" Id="R69d60937b098416e" /><Relationship Type="http://schemas.openxmlformats.org/officeDocument/2006/relationships/worksheet" Target="/xl/worksheets/sheet1.xml" Id="Rfd09121623054fca" /><Relationship Type="http://schemas.openxmlformats.org/officeDocument/2006/relationships/worksheet" Target="/xl/worksheets/sheet2.xml" Id="R89d61a245aed4d06" /><Relationship Type="http://schemas.openxmlformats.org/officeDocument/2006/relationships/worksheet" Target="/xl/worksheets/sheet3.xml" Id="R13a71e5e0527475d" /><Relationship Type="http://schemas.openxmlformats.org/officeDocument/2006/relationships/worksheet" Target="/xl/worksheets/sheet4.xml" Id="Rf7e1989f852b43b6" /></Relationships>
</file>

<file path=xl/tables/table1.xml><?xml version="1.0" encoding="utf-8"?>
<x:table xmlns:x="http://schemas.openxmlformats.org/spreadsheetml/2006/main" id="1" name="RequirementsV4" displayName="RequirementsV4" ref="A7:E21" headerRowCount="1" totalsRowCount="0" totalsRowShown="0">
  <x:tableColumns count="5">
    <x:tableColumn id="1" name="编号"/>
    <x:tableColumn id="2" name="我方需求"/>
    <x:tableColumn id="3" name="我方提供 / 负责"/>
    <x:tableColumn id="4" name="对方提供 / 负责"/>
    <x:tableColumn id="5" name="对方回复与完成日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municationV3" displayName="CommunicationV3" ref="A6:J26" headerRowCount="1" totalsRowCount="0" totalsRowShown="0">
  <x:tableColumns count="10">
    <x:tableColumn id="1" name="通信 ID"/>
    <x:tableColumn id="2" name="适用条件"/>
    <x:tableColumn id="3" name="送信元"/>
    <x:tableColumn id="4" name="宛先"/>
    <x:tableColumn id="5" name="Protocol / 目的端口"/>
    <x:tableColumn id="6" name="用途 / 发生时机"/>
    <x:tableColumn id="7" name="我方采用值与证据"/>
    <x:tableColumn id="8" name="对方负责"/>
    <x:tableColumn id="9" name="对方回复 / 申请"/>
    <x:tableColumn id="10" name="依据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rafficEstimatesV4" displayName="TrafficEstimatesV4" ref="A6:J13" headerRowCount="1" totalsRowCount="0" totalsRowShown="0">
  <x:tableColumns count="10">
    <x:tableColumn id="1" name="通信 ID"/>
    <x:tableColumn id="2" name="路径"/>
    <x:tableColumn id="3" name="日常采集 / 原单位"/>
    <x:tableColumn id="4" name="实测记录 ID"/>
    <x:tableColumn id="5" name="实测原单位 MB"/>
    <x:tableColumn id="6" name="应用数量&#10;台 / IP"/>
    <x:tableColumn id="7" name="执行次数/日&#10;按日单位填 1"/>
    <x:tableColumn id="8" name="每日概算&#10;MB/日"/>
    <x:tableColumn id="9" name="日均 Mbps&#10;非峰值"/>
    <x:tableColumn id="10" name="适用条件 / 环境回复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PocMeasurementsV4" displayName="PocMeasurementsV4" ref="A10:N17" headerRowCount="1" totalsRowCount="0" totalsRowShown="0">
  <x:tableColumns count="14">
    <x:tableColumn id="1" name="记录 ID"/>
    <x:tableColumn id="2" name="通信 ID"/>
    <x:tableColumn id="3" name="日常采集类型"/>
    <x:tableColumn id="4" name="单侧观测对象 / 边界"/>
    <x:tableColumn id="5" name="开始时间 JST"/>
    <x:tableColumn id="6" name="结束时间 JST"/>
    <x:tableColumn id="7" name="台数 / IP数"/>
    <x:tableColumn id="8" name="次数 / 观察天数"/>
    <x:tableColumn id="9" name="接收 Bytes&#10;期间合计"/>
    <x:tableColumn id="10" name="发送 Bytes&#10;期间合计"/>
    <x:tableColumn id="11" name="合计 MB"/>
    <x:tableColumn id="12" name="原单位 MB&#10;按台/次或日"/>
    <x:tableColumn id="13" name="证据编号 / 条件"/>
    <x:tableColumn id="14" name="归属确认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6505c94cdf4a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f9579f8ee540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f07694e925047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9aaca7043524c04" /></Relationships>
</file>

<file path=xl/worksheets/sheet1.xml><?xml version="1.0" encoding="utf-8"?>
<x:worksheet xmlns:x="http://schemas.openxmlformats.org/spreadsheetml/2006/main">
  <x:sheetPr>
    <x:tabColor rgb="FF555555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7.5" hidden="0" customWidth="1"/>
    <x:col min="2" max="2" width="31.25" hidden="0" customWidth="1"/>
    <x:col min="3" max="3" width="41.25" hidden="0" customWidth="1"/>
    <x:col min="4" max="4" width="41.25" hidden="0" customWidth="1"/>
    <x:col min="5" max="5" width="33.75" hidden="0" customWidth="1"/>
  </x:cols>
  <x:sheetData>
    <x:row r="1" ht="26" customHeight="1">
      <x:c r="A1" s="4"/>
      <x:c r="B1" s="4"/>
      <x:c r="C1" s="4"/>
      <x:c r="D1" s="4"/>
      <x:c r="E1" s="4"/>
    </x:row>
    <x:row r="2" ht="34" customHeight="1">
      <x:c r="A2" s="6" t="str">
        <x:v>MID Server / Discovery 事前需求与分工</x:v>
      </x:c>
      <x:c r="B2" s="6"/>
      <x:c r="C2" s="6"/>
      <x:c r="D2" s="6"/>
      <x:c r="E2" s="6"/>
    </x:row>
    <x:row r="3" ht="38" customHeight="1">
      <x:c r="A3" s="4" t="str">
        <x:v>适用环境：Housing、Hosting、据点 LAN。ITOM 提供技术条件及自有 PoC 流量，各环境负责人准备资源、办理通信许可和内部批准。</x:v>
      </x:c>
      <x:c r="B3" s="4"/>
      <x:c r="C3" s="4"/>
      <x:c r="D3" s="4"/>
      <x:c r="E3" s="4"/>
    </x:row>
    <x:row r="4" ht="28" customHeight="1">
      <x:c r="A4" s="4" t="str">
        <x:v>环境</x:v>
      </x:c>
      <x:c r="B4" s="7" t="str">
        <x:v>待填写</x:v>
      </x:c>
      <x:c r="C4" s="4" t="str">
        <x:v>环境 / 团队名称</x:v>
      </x:c>
      <x:c r="D4" s="7" t="str"/>
      <x:c r="E4" s="7"/>
    </x:row>
    <x:row r="5" ht="28" customHeight="1">
      <x:c r="A5" s="4" t="str">
        <x:v>我方</x:v>
      </x:c>
      <x:c r="B5" s="4" t="str">
        <x:v>ITOM 实施方</x:v>
      </x:c>
      <x:c r="C5" s="4" t="str">
        <x:v>对方负责人 / 联系方式</x:v>
      </x:c>
      <x:c r="D5" s="7" t="str"/>
      <x:c r="E5" s="7"/>
    </x:row>
    <x:row r="6" ht="40" customHeight="1">
      <x:c r="A6" s="4" t="str">
        <x:v>我方拟开展：MID 部署/连接、允许范围的 Discovery 采集与 CMDB 结果确认；采用 ACC 时，验证 ACC 至 MID 至 Instance 的采集链路。具体设备与时间由我方列明后提交批准。</x:v>
      </x:c>
      <x:c r="B6" s="4"/>
      <x:c r="C6" s="4"/>
      <x:c r="D6" s="4"/>
      <x:c r="E6" s="4"/>
    </x:row>
    <x:row r="7" ht="40" customHeight="1">
      <x:c r="A7" s="16" t="str">
        <x:v>编号</x:v>
      </x:c>
      <x:c r="B7" s="17" t="str">
        <x:v>我方需求</x:v>
      </x:c>
      <x:c r="C7" s="17" t="str">
        <x:v>我方提供 / 负责</x:v>
      </x:c>
      <x:c r="D7" s="17" t="str">
        <x:v>对方提供 / 负责</x:v>
      </x:c>
      <x:c r="E7" s="18" t="str">
        <x:v>对方回复与完成日</x:v>
      </x:c>
    </x:row>
    <x:row r="8" ht="77" customHeight="1">
      <x:c r="A8" s="21" t="n">
        <x:v>1</x:v>
      </x:c>
      <x:c r="B8" s="9" t="str">
        <x:v>验证内容与允许范围</x:v>
      </x:c>
      <x:c r="C8" s="9" t="str">
        <x:v>提供目标类型、验证目的、采集内容、计划次数及期望时间。配置 ServiceNow 并执行验证。</x:v>
      </x:c>
      <x:c r="D8" s="9" t="str">
        <x:v>提供设备清单、IP/CIDR、OS/类型与数量，确认允许读取/扫描的范围及限制。</x:v>
      </x:c>
      <x:c r="E8" s="19" t="str"/>
    </x:row>
    <x:row r="9" ht="77" customHeight="1">
      <x:c r="A9" s="21" t="n">
        <x:v>2</x:v>
      </x:c>
      <x:c r="B9" s="9" t="str">
        <x:v>MID 运行资源</x:v>
      </x:c>
      <x:c r="C9" s="9" t="str">
        <x:v>提供 OS、CPU、内存、磁盘和版本要求。
实际规格待我方补充。
负责 MID 产品安装与配置。</x:v>
      </x:c>
      <x:c r="D9" s="9" t="str">
        <x:v>准备符合我方要求的 VM/服务器。
提供实际 IP/FQDN、OS 信息和安装访问条件。</x:v>
      </x:c>
      <x:c r="E9" s="19" t="str"/>
    </x:row>
    <x:row r="10" ht="77" customHeight="1">
      <x:c r="A10" s="21" t="n">
        <x:v>3</x:v>
      </x:c>
      <x:c r="B10" s="9" t="str">
        <x:v>安装及常驻服务权限</x:v>
      </x:c>
      <x:c r="C10" s="9" t="str">
        <x:v>提供安装包、服务运行要求及需要的权限，说明是否采用 ACC。</x:v>
      </x:c>
      <x:c r="D10" s="9" t="str">
        <x:v>允许经批准的 MID/ACC 安装及常驻服务。提供权限，或安排授权人员配合安装。</x:v>
      </x:c>
      <x:c r="E10" s="19" t="str"/>
    </x:row>
    <x:row r="11" ht="77" customHeight="1">
      <x:c r="A11" s="21" t="n">
        <x:v>4</x:v>
      </x:c>
      <x:c r="B11" s="9" t="str">
        <x:v>MID 至 Instance</x:v>
      </x:c>
      <x:c r="C11" s="9" t="str">
        <x:v>C01：HTTPS/TCP 443，MID 主动连接 Instance。提供实际 FQDN、认证与 TLS 条件；有 Proxy 时另列 C03。</x:v>
      </x:c>
      <x:c r="D11" s="9" t="str">
        <x:v>按提交的源/目的条件办理出口通信许可。反馈 Proxy、TLS 检查等接入限制。</x:v>
      </x:c>
      <x:c r="E11" s="19" t="str"/>
    </x:row>
    <x:row r="12" ht="77" customHeight="1">
      <x:c r="A12" s="21" t="n">
        <x:v>5</x:v>
      </x:c>
      <x:c r="B12" s="9" t="str">
        <x:v>MID 至目标设备</x:v>
      </x:c>
      <x:c r="C12" s="9" t="str">
        <x:v>按采用方式提供 C06-C12、C17/C18 的地址和目的端口。Windows 不只填写 135；Linux SSH 22；网络设备 SNMP 161。</x:v>
      </x:c>
      <x:c r="D12" s="9" t="str">
        <x:v>办理适用端口的网络及主机 FW 放行，确认目标监听服务及允许来源。只处理实际采用项目。</x:v>
      </x:c>
      <x:c r="E12" s="19" t="str"/>
    </x:row>
    <x:row r="13" ht="77" customHeight="1">
      <x:c r="A13" s="21" t="n">
        <x:v>6</x:v>
      </x:c>
      <x:c r="B13" s="9" t="str">
        <x:v>ACC 至 MID</x:v>
      </x:c>
      <x:c r="C13" s="9" t="str">
        <x:v>C13：WSS/TCP 实际 Listener 端口，8800 为默认参考。ITOM/SN 管理者配置 Listener、backend-url 和证书。</x:v>
      </x:c>
      <x:c r="D13" s="9" t="str">
        <x:v>按我方实际端口开通 ACC 至 MID 通信，确认软件安装许可及证书信任部署条件。</x:v>
      </x:c>
      <x:c r="E13" s="19" t="str"/>
    </x:row>
    <x:row r="14" ht="77" customHeight="1">
      <x:c r="A14" s="21" t="n">
        <x:v>7</x:v>
      </x:c>
      <x:c r="B14" s="9" t="str">
        <x:v>DNS 名称解析</x:v>
      </x:c>
      <x:c r="C14" s="9" t="str">
        <x:v>C04/C05：UDP/TCP 53。列出 Instance、Proxy、MID Listener 等需解析的 FQDN，并执行解析验证。</x:v>
      </x:c>
      <x:c r="D14" s="9" t="str">
        <x:v>提供批准的 DNS 地址和可用条件，保证相应名称可解析，并办理 DNS 通信许可。</x:v>
      </x:c>
      <x:c r="E14" s="19" t="str"/>
    </x:row>
    <x:row r="15" ht="77" customHeight="1">
      <x:c r="A15" s="21" t="n">
        <x:v>8</x:v>
      </x:c>
      <x:c r="B15" s="9" t="str">
        <x:v>目标设备认证权限</x:v>
      </x:c>
      <x:c r="C15" s="9" t="str">
        <x:v>Windows：采用 WMI/WinRM 等对应权限。Linux：SSH 账号/密钥及 Pattern 所需 sudo。SNMP：批准的只读凭证。详细权限按选定 Pattern 提供。</x:v>
      </x:c>
      <x:c r="D15" s="9" t="str">
        <x:v>提供经批准的账号、密钥及读取权限；受限制的权限逐项回复。使用安全渠道交付，不在 Excel 填密码/密钥/Community。</x:v>
      </x:c>
      <x:c r="E15" s="19" t="str"/>
    </x:row>
    <x:row r="16" ht="77" customHeight="1">
      <x:c r="A16" s="21" t="n">
        <x:v>9</x:v>
      </x:c>
      <x:c r="B16" s="9" t="str">
        <x:v>下载、更新及证书检查</x:v>
      </x:c>
      <x:c r="C16" s="9" t="str">
        <x:v>列明必要的 C02/C20 软件配布连接条件与 C14 证书检查目的地址。</x:v>
      </x:c>
      <x:c r="D16" s="9" t="str">
        <x:v>确认批准的软件分发、出口与证书检查条件，并反馈受限项。不要求一律开放互联网或关闭证书检查。</x:v>
      </x:c>
      <x:c r="E16" s="19" t="str"/>
    </x:row>
    <x:row r="17" ht="77" customHeight="1">
      <x:c r="A17" s="21" t="n">
        <x:v>10</x:v>
      </x:c>
      <x:c r="B17" s="9" t="str">
        <x:v>实施次数、频率及时间窗口</x:v>
      </x:c>
      <x:c r="C17" s="9" t="str">
        <x:v>提供定期 Discovery 执行频率、ACC Policy/Check 周期及预期持续时间；采用值待我方填写。</x:v>
      </x:c>
      <x:c r="D17" s="9" t="str">
        <x:v>回复可执行时间、设备/回线限制、内部批准与变更申请要求。</x:v>
      </x:c>
      <x:c r="E17" s="19" t="str"/>
    </x:row>
    <x:row r="18" ht="77" customHeight="1">
      <x:c r="A18" s="21" t="n">
        <x:v>11</x:v>
      </x:c>
      <x:c r="B18" s="9" t="str">
        <x:v>日常通信量与概算</x:v>
      </x:c>
      <x:c r="C18" s="9" t="str">
        <x:v>自行实测稳定运行与定期 Discovery。提供 MB/台/日、MB/目标/次、MB/MID/日及台数/频率概算，说明周期、观测期间、通信归属和证据。</x:v>
      </x:c>
      <x:c r="D18" s="9" t="str">
        <x:v>确认实际台数/频率和需评估回线，回复能否接受及带宽/时间限制。PoC 测量由我方负责。</x:v>
      </x:c>
      <x:c r="E18" s="19" t="str"/>
    </x:row>
    <x:row r="19" ht="77" customHeight="1">
      <x:c r="A19" s="21" t="n">
        <x:v>12</x:v>
      </x:c>
      <x:c r="B19" s="9" t="str">
        <x:v>扫描影响与安全通知</x:v>
      </x:c>
      <x:c r="C19" s="9" t="str">
        <x:v>提供 C17 允许 IP 范围、启用端口、执行时机及测试发起源。发现异常时停止我方任务。</x:v>
      </x:c>
      <x:c r="D19" s="9" t="str">
        <x:v>办理扫描/IDS 等所需通知或许可，提供异常联系人和现场约束。</x:v>
      </x:c>
      <x:c r="E19" s="19" t="str"/>
    </x:row>
    <x:row r="20" ht="77" customHeight="1">
      <x:c r="A20" s="21" t="n">
        <x:v>13</x:v>
      </x:c>
      <x:c r="B20" s="9" t="str">
        <x:v>既有管理与 OS 基础条件</x:v>
      </x:c>
      <x:c r="C20" s="9" t="str">
        <x:v>列明验证必要的管理访问、DNS、时间同步或域认证依赖。只提出实际必要项。</x:v>
      </x:c>
      <x:c r="D20" s="9" t="str">
        <x:v>提供本环境批准的管理访问与基础服务条件；具体网络/安全实施方案由环境管理方负责。</x:v>
      </x:c>
      <x:c r="E20" s="19" t="str"/>
    </x:row>
    <x:row r="21" ht="77" customHeight="1">
      <x:c r="A21" s="22" t="n">
        <x:v>14</x:v>
      </x:c>
      <x:c r="B21" s="10" t="str">
        <x:v>回复与实施批准</x:v>
      </x:c>
      <x:c r="C21" s="10" t="str">
        <x:v>补齐实际地址/端口、规格、权限及日常流量后提交。按批准的范围和窗口实施，并反馈采集结果。</x:v>
      </x:c>
      <x:c r="D21" s="10" t="str">
        <x:v>对各项回复可/附条件可/不可，注明限制、负责人、申请编号及预计完成日；完成内部批准。</x:v>
      </x:c>
      <x:c r="E21" s="20" t="str"/>
    </x:row>
    <x:row r="22" ht="26" customHeight="1">
      <x:c r="A22" s="4"/>
      <x:c r="B22" s="4"/>
      <x:c r="C22" s="4"/>
      <x:c r="D22" s="4"/>
      <x:c r="E22" s="4"/>
    </x:row>
    <x:row r="23" ht="26" customHeight="1">
      <x:c r="A23" s="4"/>
      <x:c r="B23" s="4"/>
      <x:c r="C23" s="4"/>
      <x:c r="D23" s="4"/>
      <x:c r="E23" s="4"/>
    </x:row>
    <x:row r="24" ht="27" customHeight="1">
      <x:c r="A24" s="24" t="str">
        <x:v>已知 PoC 基础与待提供事项</x:v>
      </x:c>
      <x:c r="B24" s="24"/>
      <x:c r="C24" s="24"/>
      <x:c r="D24" s="24"/>
      <x:c r="E24" s="24"/>
    </x:row>
    <x:row r="25" ht="42" customHeight="1">
      <x:c r="A25" s="4" t="str">
        <x:v>已完成：Azure 中 1 台 ACC 经 MID Server 向 ServiceNow Instance 传输的连接测试（ITOM 实施方说明）。这不代表其他 Discovery 路径、客户环境许可或通信量已验证。</x:v>
      </x:c>
      <x:c r="B25" s="4"/>
      <x:c r="C25" s="4"/>
      <x:c r="D25" s="4"/>
      <x:c r="E25" s="4"/>
    </x:row>
    <x:row r="26" ht="42" customHeight="1">
      <x:c r="A26" s="4" t="str">
        <x:v>待我方提供：PoC 日期和版本、实际 IP/FQDN/端口、Policy/Check 周期、原始 Bytes、观察时长、目标流归属，以及各环境规格/采集范围/执行时间。浅灰为填写栏，较深灰为计算栏。</x:v>
      </x:c>
      <x:c r="B26" s="4"/>
      <x:c r="C26" s="4"/>
      <x:c r="D26" s="4"/>
      <x:c r="E26" s="4"/>
    </x:row>
    <x:row r="27" ht="26" customHeight="1">
      <x:c r="A27" s="4"/>
      <x:c r="B27" s="4"/>
      <x:c r="C27" s="4"/>
      <x:c r="D27" s="4"/>
      <x:c r="E27" s="4"/>
    </x:row>
    <x:row r="28" ht="27" customHeight="1">
      <x:c r="A28" s="24" t="str">
        <x:v>参考依据（核对日期 2026-10-01）</x:v>
      </x:c>
      <x:c r="B28" s="24"/>
      <x:c r="C28" s="24"/>
      <x:c r="D28" s="24"/>
      <x:c r="E28" s="24"/>
    </x:row>
    <x:row r="29" ht="50" customHeight="1">
      <x:c r="A29" s="4" t="str">
        <x:v>S1</x:v>
      </x:c>
      <x:c r="B29" s="4" t="str">
        <x:v>MID 与 Instance 连接、MID 产品下载
ServiceNow：Prepare network connections for MID Servers。Instance TCP 443；install.service-now.com 为升级下载地址。按客户版本复核。</x:v>
      </x:c>
      <x:c r="C29" s="4"/>
      <x:c r="D29" s="4" t="str">
        <x:v>https://www.servicenow.com/docs/r/ja-JP/servicenow-platform/mid-server/c_MIDServerConnectionPrerequisites.html</x:v>
      </x:c>
      <x:c r="E29" s="4"/>
    </x:row>
    <x:row r="30" ht="12" customHeight="1">
      <x:c r="A30" s="4"/>
      <x:c r="B30" s="4" t="str">
        <x:v>官方参考端口不等于客户实际采用值。对方实施方法与内部规划由对方负责。</x:v>
      </x:c>
      <x:c r="C30" s="4"/>
      <x:c r="D30" s="4"/>
      <x:c r="E30" s="4"/>
    </x:row>
    <x:row r="31" ht="50" customHeight="1">
      <x:c r="A31" s="4" t="str">
        <x:v>S2</x:v>
      </x:c>
      <x:c r="B31" s="4" t="str">
        <x:v>扫描与发现协议/端口
ServiceNow：Ports and protocols for Shazzam。Brazil，更新 2026-09-10。默认探测端口及协议；实际启用的探针/Pattern 决定申请项。</x:v>
      </x:c>
      <x:c r="C31" s="4"/>
      <x:c r="D31" s="4" t="str">
        <x:v>https://www.servicenow.com/docs/r/it-operations-management/discovery/r_DiscoveryPortsAndProtocols.html</x:v>
      </x:c>
      <x:c r="E31" s="4"/>
    </x:row>
    <x:row r="32" ht="12" customHeight="1">
      <x:c r="A32" s="4"/>
      <x:c r="B32" s="4" t="str"/>
      <x:c r="C32" s="4"/>
      <x:c r="D32" s="4"/>
      <x:c r="E32" s="4"/>
    </x:row>
    <x:row r="33" ht="50" customHeight="1">
      <x:c r="A33" s="4" t="str">
        <x:v>S3</x:v>
      </x:c>
      <x:c r="B33" s="4" t="str">
        <x:v>ACC WSS Listener
ServiceNow：Configure the websocket server on the MID Server。Australia，更新 2026-03-12。默认 8800 可修改；采用值由 ITOM/SN 管理者提供。</x:v>
      </x:c>
      <x:c r="C33" s="4"/>
      <x:c r="D33" s="4" t="str">
        <x:v>https://www.servicenow.com/docs/r/it-operations-management/agent-client-collector/acc-configure-web-server.html?contentId=qClaXI6IkUIxGqnzmvU3Cw</x:v>
      </x:c>
      <x:c r="E33" s="4"/>
    </x:row>
    <x:row r="34" ht="12" customHeight="1">
      <x:c r="A34" s="4"/>
      <x:c r="B34" s="4" t="str"/>
      <x:c r="C34" s="4"/>
      <x:c r="D34" s="4"/>
      <x:c r="E34" s="4"/>
    </x:row>
    <x:row r="35" ht="50" customHeight="1">
      <x:c r="A35" s="4" t="str">
        <x:v>S4</x:v>
      </x:c>
      <x:c r="B35" s="4" t="str">
        <x:v>Windows RPC、DNS 及 OS 基础通信
Microsoft Learn：Service overview and network port requirements。RPC 动态范围按 OS 与现场限制确认；DNS 包括 UDP/TCP 53。</x:v>
      </x:c>
      <x:c r="C35" s="4"/>
      <x:c r="D35" s="4" t="str">
        <x:v>https://learn.microsoft.com/en-us/troubleshoot/windows-server/networking/service-overview-and-network-port-requirements</x:v>
      </x:c>
      <x:c r="E35" s="4"/>
    </x:row>
    <x:row r="36" ht="12" customHeight="1">
      <x:c r="A36" s="4"/>
      <x:c r="B36" s="4" t="str"/>
      <x:c r="C36" s="4"/>
      <x:c r="D36" s="4"/>
      <x:c r="E36" s="4"/>
    </x:row>
    <x:row r="37" ht="50" customHeight="1">
      <x:c r="A37" s="4" t="str">
        <x:v>S5</x:v>
      </x:c>
      <x:c r="B37" s="4" t="str">
        <x:v>Discovery 设置与凭证
ServiceNow：Set up Discovery without Guided Setup。目标 IP、凭证、MID、调度与验证按实际采用方式提供。</x:v>
      </x:c>
      <x:c r="C37" s="4"/>
      <x:c r="D37" s="4" t="str">
        <x:v>https://www.servicenow.com/docs/r/it-operations-management/discovery/t_ConfigureDiscovery.html</x:v>
      </x:c>
      <x:c r="E37" s="4"/>
    </x:row>
    <x:row r="38" ht="12" customHeight="1">
      <x:c r="A38" s="4"/>
      <x:c r="B38" s="4" t="str"/>
      <x:c r="C38" s="4"/>
      <x:c r="D38" s="4"/>
      <x:c r="E38" s="4"/>
    </x:row>
    <x:row r="39" ht="50" customHeight="1">
      <x:c r="A39" s="4" t="str">
        <x:v>S6</x:v>
      </x:c>
      <x:c r="B39" s="4" t="str">
        <x:v>Azure VM 网络指标
Microsoft Learn：Virtual machine monitoring data reference。Network In/Out Total 为全部网卡的 Bytes，聚合采用 Total(Sum)。</x:v>
      </x:c>
      <x:c r="C39" s="4"/>
      <x:c r="D39" s="4" t="str">
        <x:v>https://learn.microsoft.com/en-us/azure/virtual-machines/monitor-vm-reference</x:v>
      </x:c>
      <x:c r="E39" s="4"/>
    </x:row>
    <x:row r="40" ht="12" customHeight="1">
      <x:c r="A40" s="4"/>
      <x:c r="B40" s="4" t="str"/>
      <x:c r="C40" s="4"/>
      <x:c r="D40" s="4"/>
      <x:c r="E40" s="4"/>
    </x:row>
    <x:row r="41" ht="50" customHeight="1">
      <x:c r="A41" s="4" t="str">
        <x:v>S7</x:v>
      </x:c>
      <x:c r="B41" s="4" t="str">
        <x:v>ACC backend-url
ServiceNow：ACC configuration file options。acc.yml 的 backend-url 应与 MID Listener 地址/端口匹配。禁止在本表填写 api-key。</x:v>
      </x:c>
      <x:c r="C41" s="4"/>
      <x:c r="D41" s="4" t="str">
        <x:v>https://www.servicenow.com/docs/r/it-operations-management/agent-client-collector/acc-yml-options.html</x:v>
      </x:c>
      <x:c r="E41" s="4"/>
    </x:row>
    <x:row r="42" ht="12" customHeight="1">
      <x:c r="A42" s="4"/>
      <x:c r="B42" s="4" t="str"/>
      <x:c r="C42" s="4"/>
      <x:c r="D42" s="4"/>
      <x:c r="E42" s="4"/>
    </x:row>
    <x:row r="43" ht="26" customHeight="1">
      <x:c r="A43" s="4"/>
      <x:c r="B43" s="4"/>
      <x:c r="C43" s="4"/>
      <x:c r="D43" s="4"/>
      <x:c r="E43" s="4"/>
    </x:row>
    <x:row r="44" ht="40" customHeight="1">
      <x:c r="A44" s="4" t="str">
        <x:v>本次协调依据：两段原录音及《Discovery_通信要件・通信量整理表.xlsx》的通信、概算、测定记录内容。录音 1 00:05-00:46、01:19-02:05；录音 2 00:00-00:53。责任分工为本次协调要求。</x:v>
      </x:c>
      <x:c r="B44" s="4"/>
      <x:c r="C44" s="4"/>
      <x:c r="D44" s="4"/>
      <x:c r="E44" s="4"/>
    </x:row>
    <x:row r="45" ht="26" customHeight="1">
      <x:c r="A45" s="4"/>
      <x:c r="B45" s="4"/>
      <x:c r="C45" s="4"/>
      <x:c r="D45" s="4"/>
      <x:c r="E45" s="4"/>
    </x:row>
    <x:row r="46" ht="26" customHeight="1">
      <x:c r="A46" s="4"/>
      <x:c r="B46" s="4"/>
      <x:c r="C46" s="4"/>
      <x:c r="D46" s="4"/>
      <x:c r="E46" s="4"/>
    </x:row>
    <x:row r="47" ht="26" customHeight="1">
      <x:c r="A47" s="4"/>
      <x:c r="B47" s="4"/>
      <x:c r="C47" s="4"/>
      <x:c r="D47" s="4"/>
      <x:c r="E47" s="4"/>
    </x:row>
  </x:sheetData>
  <x:mergeCells>
    <x:mergeCell ref="A2:E2"/>
    <x:mergeCell ref="A3:E3"/>
    <x:mergeCell ref="D4:E4"/>
    <x:mergeCell ref="D5:E5"/>
    <x:mergeCell ref="A6:E6"/>
    <x:mergeCell ref="A24:E24"/>
    <x:mergeCell ref="A25:E25"/>
    <x:mergeCell ref="A26:E26"/>
    <x:mergeCell ref="A28:E28"/>
    <x:mergeCell ref="B29:C29"/>
    <x:mergeCell ref="D29:E29"/>
    <x:mergeCell ref="B30:E30"/>
    <x:mergeCell ref="B31:C31"/>
    <x:mergeCell ref="D31:E31"/>
    <x:mergeCell ref="B32:E32"/>
    <x:mergeCell ref="B33:C33"/>
    <x:mergeCell ref="D33:E33"/>
    <x:mergeCell ref="B34:E34"/>
    <x:mergeCell ref="B35:C35"/>
    <x:mergeCell ref="D35:E35"/>
    <x:mergeCell ref="B36:E36"/>
    <x:mergeCell ref="B37:C37"/>
    <x:mergeCell ref="D37:E37"/>
    <x:mergeCell ref="B38:E38"/>
    <x:mergeCell ref="B39:C39"/>
    <x:mergeCell ref="D39:E39"/>
    <x:mergeCell ref="B40:E40"/>
    <x:mergeCell ref="B41:C41"/>
    <x:mergeCell ref="D41:E41"/>
    <x:mergeCell ref="B42:E42"/>
    <x:mergeCell ref="A44:E44"/>
  </x:mergeCells>
  <x:dataValidations count="1">
    <x:dataValidation type="list" sqref="B4">
      <x:formula1>"Housing,Hosting,据点 LAN,待填写"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6505c94cdf4ab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.5" hidden="0" customWidth="1"/>
    <x:col min="2" max="2" width="20" hidden="0" customWidth="1"/>
    <x:col min="3" max="3" width="20" hidden="0" customWidth="1"/>
    <x:col min="4" max="4" width="25.6299991607666" hidden="0" customWidth="1"/>
    <x:col min="5" max="5" width="19.3799991607666" hidden="0" customWidth="1"/>
    <x:col min="6" max="6" width="30.6299991607666" hidden="0" customWidth="1"/>
    <x:col min="7" max="7" width="33.130001068115234" hidden="0" customWidth="1"/>
    <x:col min="8" max="8" width="28.75" hidden="0" customWidth="1"/>
    <x:col min="9" max="9" width="26.25" hidden="0" customWidth="1"/>
    <x:col min="10" max="10" width="8.130000114440918" hidden="0" customWidth="1"/>
  </x:cols>
  <x:sheetData>
    <x:row r="1" ht="26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6" t="str">
        <x:v>具体通信要件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38" customHeight="1">
      <x:c r="A3" s="4" t="str">
        <x:v>目的端口是宛先监听端口。通信由送信元发起，返回流量按会话处理。仅申请实际采用项目；C01-C20 与流量记录使用同一含义，不与参考资料的 C 编号混用。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34" customHeight="1">
      <x:c r="A4" s="4" t="str">
        <x:v>G 列由 ITOM 提供实际地址/端口、采用方式和验证证据；I 列由环境方回复放行可否、实际地址差异、申请编号和预计完成日。默认值不能视为已验证或已批准。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 ht="26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</x:row>
    <x:row r="6" ht="40" customHeight="1">
      <x:c r="A6" s="16" t="str">
        <x:v>通信 ID</x:v>
      </x:c>
      <x:c r="B6" s="17" t="str">
        <x:v>适用条件</x:v>
      </x:c>
      <x:c r="C6" s="17" t="str">
        <x:v>送信元</x:v>
      </x:c>
      <x:c r="D6" s="17" t="str">
        <x:v>宛先</x:v>
      </x:c>
      <x:c r="E6" s="17" t="str">
        <x:v>Protocol / 目的端口</x:v>
      </x:c>
      <x:c r="F6" s="17" t="str">
        <x:v>用途 / 发生时机</x:v>
      </x:c>
      <x:c r="G6" s="17" t="str">
        <x:v>我方采用值与证据</x:v>
      </x:c>
      <x:c r="H6" s="17" t="str">
        <x:v>对方负责</x:v>
      </x:c>
      <x:c r="I6" s="17" t="str">
        <x:v>对方回复 / 申请</x:v>
      </x:c>
      <x:c r="J6" s="18" t="str">
        <x:v>依据</x:v>
      </x:c>
    </x:row>
    <x:row r="7" ht="98" customHeight="1">
      <x:c r="A7" s="9" t="str">
        <x:v>C01</x:v>
      </x:c>
      <x:c r="B7" s="9" t="str">
        <x:v>MID 基础通信</x:v>
      </x:c>
      <x:c r="C7" s="9" t="str">
        <x:v>MID Server IP</x:v>
      </x:c>
      <x:c r="D7" s="9" t="str">
        <x:v>&lt;instance&gt;.service-now.com</x:v>
      </x:c>
      <x:c r="E7" s="9" t="str">
        <x:v>HTTPS / TCP 443</x:v>
      </x:c>
      <x:c r="F7" s="9" t="str">
        <x:v>任务获取、轮询和结果发送。正常运行及采集时。Instance 不主动建立此方向的新连接。</x:v>
      </x:c>
      <x:c r="G7" s="19" t="str">
        <x:v>待提供：MID IP、实际 Instance FQDN、TLS/Proxy 条件及验证结果。</x:v>
      </x:c>
      <x:c r="H7" s="9" t="str">
        <x:v>办理对应出口/主机 FW 许可。Proxy 场景另确认 C03。</x:v>
      </x:c>
      <x:c r="I7" s="19" t="str"/>
      <x:c r="J7" s="9" t="str">
        <x:v>S1/S5</x:v>
      </x:c>
    </x:row>
    <x:row r="8" ht="98" customHeight="1">
      <x:c r="A8" s="9" t="str">
        <x:v>C02</x:v>
      </x:c>
      <x:c r="B8" s="9" t="str">
        <x:v>产品下载/更新时</x:v>
      </x:c>
      <x:c r="C8" s="9" t="str">
        <x:v>MID Server / 批准的配布端</x:v>
      </x:c>
      <x:c r="D8" s="9" t="str">
        <x:v>install.service-now.com 或批准配布源</x:v>
      </x:c>
      <x:c r="E8" s="9" t="str">
        <x:v>HTTPS / TCP 443（官方出口参考）</x:v>
      </x:c>
      <x:c r="F8" s="9" t="str">
        <x:v>MID 产品下载/升级的连接条件。</x:v>
      </x:c>
      <x:c r="G8" s="19" t="str">
        <x:v>待提供：实际下载/配布路径、版本与端口。</x:v>
      </x:c>
      <x:c r="H8" s="9" t="str">
        <x:v>确认批准的出口/配布方式并开通采用路径。</x:v>
      </x:c>
      <x:c r="I8" s="19" t="str"/>
      <x:c r="J8" s="9" t="str">
        <x:v>S1</x:v>
      </x:c>
    </x:row>
    <x:row r="9" ht="98" customHeight="1">
      <x:c r="A9" s="9" t="str">
        <x:v>C03</x:v>
      </x:c>
      <x:c r="B9" s="9" t="str">
        <x:v>采用 Proxy 时</x:v>
      </x:c>
      <x:c r="C9" s="9" t="str">
        <x:v>MID Server IP</x:v>
      </x:c>
      <x:c r="D9" s="9" t="str">
        <x:v>&lt;Proxy IP/FQDN&gt;</x:v>
      </x:c>
      <x:c r="E9" s="9" t="str">
        <x:v>TCP &lt;实际 Proxy 端口&gt;</x:v>
      </x:c>
      <x:c r="F9" s="9" t="str">
        <x:v>MID 首跳连接 Proxy。CONNECT、代理认证、TLS 检查按实际接入。</x:v>
      </x:c>
      <x:c r="G9" s="19" t="str">
        <x:v>待提供：Proxy 接入值、认证方式、目的域名。首跳不默认 443。</x:v>
      </x:c>
      <x:c r="H9" s="9" t="str">
        <x:v>提供既有 Proxy 条件并办理访问许可。</x:v>
      </x:c>
      <x:c r="I9" s="19" t="str"/>
      <x:c r="J9" s="9" t="str">
        <x:v>S1</x:v>
      </x:c>
    </x:row>
    <x:row r="10" ht="98" customHeight="1">
      <x:c r="A10" s="9" t="str">
        <x:v>C04</x:v>
      </x:c>
      <x:c r="B10" s="9" t="str">
        <x:v>MID 使用 FQDN</x:v>
      </x:c>
      <x:c r="C10" s="9" t="str">
        <x:v>MID Server IP</x:v>
      </x:c>
      <x:c r="D10" s="9" t="str">
        <x:v>批准的 DNS IP</x:v>
      </x:c>
      <x:c r="E10" s="9" t="str">
        <x:v>UDP 53 / TCP 53</x:v>
      </x:c>
      <x:c r="F10" s="9" t="str">
        <x:v>解析 Instance、Proxy、目标等名称。MID 访问 SaaS 仍需相应解析。</x:v>
      </x:c>
      <x:c r="G10" s="19" t="str">
        <x:v>待提供：需解析 FQDN；采用 DNS 与解析验证。</x:v>
      </x:c>
      <x:c r="H10" s="9" t="str">
        <x:v>提供 DNS、解析条件及必要访问许可。</x:v>
      </x:c>
      <x:c r="I10" s="19" t="str"/>
      <x:c r="J10" s="9" t="str">
        <x:v>S4</x:v>
      </x:c>
    </x:row>
    <x:row r="11" ht="98" customHeight="1">
      <x:c r="A11" s="9" t="str">
        <x:v>C05</x:v>
      </x:c>
      <x:c r="B11" s="9" t="str">
        <x:v>ACC 用 MID FQDN 时</x:v>
      </x:c>
      <x:c r="C11" s="9" t="str">
        <x:v>ACC 目标 VM IP</x:v>
      </x:c>
      <x:c r="D11" s="9" t="str">
        <x:v>批准的 DNS IP</x:v>
      </x:c>
      <x:c r="E11" s="9" t="str">
        <x:v>UDP 53 / TCP 53</x:v>
      </x:c>
      <x:c r="F11" s="9" t="str">
        <x:v>解析 MID Listener FQDN。使用 IP 时此解析用途可能不适用。</x:v>
      </x:c>
      <x:c r="G11" s="19" t="str">
        <x:v>待提供：backend-url 中的 MID 名称及解析结果。</x:v>
      </x:c>
      <x:c r="H11" s="9" t="str">
        <x:v>保证该 FQDN 可解析并办理 DNS 通信许可。</x:v>
      </x:c>
      <x:c r="I11" s="19" t="str"/>
      <x:c r="J11" s="9" t="str">
        <x:v>S4/S7</x:v>
      </x:c>
    </x:row>
    <x:row r="12" ht="98" customHeight="1">
      <x:c r="A12" s="9" t="str">
        <x:v>C06</x:v>
      </x:c>
      <x:c r="B12" s="9" t="str">
        <x:v>Linux/Unix SSH 发现</x:v>
      </x:c>
      <x:c r="C12" s="9" t="str">
        <x:v>MID Server IP</x:v>
      </x:c>
      <x:c r="D12" s="9" t="str">
        <x:v>Linux/Unix 目标 IP</x:v>
      </x:c>
      <x:c r="E12" s="9" t="str">
        <x:v>SSH / TCP 22（参考）</x:v>
      </x:c>
      <x:c r="F12" s="9" t="str">
        <x:v>认证读取 OS、硬件、软件和配置；按调度执行。非标准 SSH 端口另列。</x:v>
      </x:c>
      <x:c r="G12" s="19" t="str">
        <x:v>待提供：目标 IP、实际 SSH 端口、账号权限与执行频率。</x:v>
      </x:c>
      <x:c r="H12" s="9" t="str">
        <x:v>办理目标访问与主机 FW，准备批准的 SSH/sudo 权限。</x:v>
      </x:c>
      <x:c r="I12" s="19" t="str"/>
      <x:c r="J12" s="9" t="str">
        <x:v>S2/S5</x:v>
      </x:c>
    </x:row>
    <x:row r="13" ht="98" customHeight="1">
      <x:c r="A13" s="9" t="str">
        <x:v>C07</x:v>
      </x:c>
      <x:c r="B13" s="9" t="str">
        <x:v>Windows WMI/DCOM</x:v>
      </x:c>
      <x:c r="C13" s="9" t="str">
        <x:v>MID Server IP</x:v>
      </x:c>
      <x:c r="D13" s="9" t="str">
        <x:v>Windows 目标 IP</x:v>
      </x:c>
      <x:c r="E13" s="9" t="str">
        <x:v>RPC Endpoint Mapper / TCP 135</x:v>
      </x:c>
      <x:c r="F13" s="9" t="str">
        <x:v>建立 WMI/DCOM 访问，通常还需 C08，必要时 C09。仅 135 不足。</x:v>
      </x:c>
      <x:c r="G13" s="19" t="str">
        <x:v>待提供：采用方式及目标 IP。</x:v>
      </x:c>
      <x:c r="H13" s="9" t="str">
        <x:v>按采用方式办理 RPC 访问许可。</x:v>
      </x:c>
      <x:c r="I13" s="19" t="str"/>
      <x:c r="J13" s="9" t="str">
        <x:v>S2/S4</x:v>
      </x:c>
    </x:row>
    <x:row r="14" ht="98" customHeight="1">
      <x:c r="A14" s="9" t="str">
        <x:v>C08</x:v>
      </x:c>
      <x:c r="B14" s="9" t="str">
        <x:v>WMI/DCOM 动态 RPC</x:v>
      </x:c>
      <x:c r="C14" s="9" t="str">
        <x:v>MID Server IP</x:v>
      </x:c>
      <x:c r="D14" s="9" t="str">
        <x:v>Windows 目标 IP</x:v>
      </x:c>
      <x:c r="E14" s="9" t="str">
        <x:v>TCP &lt;实际动态 RPC 范围&gt;
常见 49152-65535</x:v>
      </x:c>
      <x:c r="F14" s="9" t="str">
        <x:v>Endpoint Mapper 协商后的 RPC 通信。实际范围由 OS/限制配置确认。</x:v>
      </x:c>
      <x:c r="G14" s="19" t="str">
        <x:v>待提供：实际目的范围、限制配置和必要回连条件；不直接申请示例全范围。</x:v>
      </x:c>
      <x:c r="H14" s="9" t="str">
        <x:v>确认目标实际范围，办理经批准的必要通信。</x:v>
      </x:c>
      <x:c r="I14" s="19" t="str"/>
      <x:c r="J14" s="9" t="str">
        <x:v>S2/S4</x:v>
      </x:c>
    </x:row>
    <x:row r="15" ht="98" customHeight="1">
      <x:c r="A15" s="9" t="str">
        <x:v>C09</x:v>
      </x:c>
      <x:c r="B15" s="9" t="str">
        <x:v>所选 Windows 内容需要 SMB</x:v>
      </x:c>
      <x:c r="C15" s="9" t="str">
        <x:v>MID Server IP</x:v>
      </x:c>
      <x:c r="D15" s="9" t="str">
        <x:v>Windows 目标 IP</x:v>
      </x:c>
      <x:c r="E15" s="9" t="str">
        <x:v>SMB / TCP 445</x:v>
      </x:c>
      <x:c r="F15" s="9" t="str">
        <x:v>相关 Pattern/Probe 或文件/命令访问需要时使用。改用 WinRM 不自动代表无需 SMB。</x:v>
      </x:c>
      <x:c r="G15" s="19" t="str">
        <x:v>待提供：所选发现内容是否需要、目标及权限。</x:v>
      </x:c>
      <x:c r="H15" s="9" t="str">
        <x:v>仅对需要的目标办理放行并确认 SMB 权限。</x:v>
      </x:c>
      <x:c r="I15" s="19" t="str"/>
      <x:c r="J15" s="9" t="str">
        <x:v>S2/S4</x:v>
      </x:c>
    </x:row>
    <x:row r="16" ht="98" customHeight="1">
      <x:c r="A16" s="9" t="str">
        <x:v>C10</x:v>
      </x:c>
      <x:c r="B16" s="9" t="str">
        <x:v>采用 WinRM HTTPS</x:v>
      </x:c>
      <x:c r="C16" s="9" t="str">
        <x:v>MID Server IP</x:v>
      </x:c>
      <x:c r="D16" s="9" t="str">
        <x:v>Windows 目标 IP</x:v>
      </x:c>
      <x:c r="E16" s="9" t="str">
        <x:v>WinRM HTTPS / TCP 5986（参考）</x:v>
      </x:c>
      <x:c r="F16" s="9" t="str">
        <x:v>远程读取。Listener、证书和信任按实际启用值；非所有 Windows 必选。</x:v>
      </x:c>
      <x:c r="G16" s="19" t="str">
        <x:v>待提供：WinRM/TLS 实际配置、目标/端口与验证。</x:v>
      </x:c>
      <x:c r="H16" s="9" t="str">
        <x:v>确认 Listener、证书部署条件与访问许可。</x:v>
      </x:c>
      <x:c r="I16" s="19" t="str"/>
      <x:c r="J16" s="9" t="str">
        <x:v>S2</x:v>
      </x:c>
    </x:row>
    <x:row r="17" ht="98" customHeight="1">
      <x:c r="A17" s="9" t="str">
        <x:v>C11</x:v>
      </x:c>
      <x:c r="B17" s="9" t="str">
        <x:v>采用 WinRM HTTP</x:v>
      </x:c>
      <x:c r="C17" s="9" t="str">
        <x:v>MID Server IP</x:v>
      </x:c>
      <x:c r="D17" s="9" t="str">
        <x:v>Windows 目标 IP</x:v>
      </x:c>
      <x:c r="E17" s="9" t="str">
        <x:v>WinRM HTTP / TCP 5985（参考）</x:v>
      </x:c>
      <x:c r="F17" s="9" t="str">
        <x:v>仅在采用且获安全批准时使用，不能把 C10/C11 视为同时必开。</x:v>
      </x:c>
      <x:c r="G17" s="19" t="str">
        <x:v>待提供：是否采用、保护方式、实际端口与验证。</x:v>
      </x:c>
      <x:c r="H17" s="9" t="str">
        <x:v>审核采用方式，按批准条件办理访问许可。</x:v>
      </x:c>
      <x:c r="I17" s="19" t="str"/>
      <x:c r="J17" s="9" t="str">
        <x:v>S2</x:v>
      </x:c>
    </x:row>
    <x:row r="18" ht="98" customHeight="1">
      <x:c r="A18" s="9" t="str">
        <x:v>C12</x:v>
      </x:c>
      <x:c r="B18" s="9" t="str">
        <x:v>网络设备 SNMP 发现</x:v>
      </x:c>
      <x:c r="C18" s="9" t="str">
        <x:v>MID Server IP</x:v>
      </x:c>
      <x:c r="D18" s="9" t="str">
        <x:v>网络设备管理 IP</x:v>
      </x:c>
      <x:c r="E18" s="9" t="str">
        <x:v>SNMP / UDP 161（参考）</x:v>
      </x:c>
      <x:c r="F18" s="9" t="str">
        <x:v>读取设备信息。采用只读/v3 等批准凭证。Trap 162 不属于本行轮询。</x:v>
      </x:c>
      <x:c r="G18" s="19" t="str">
        <x:v>待提供：设备范围、实际端口、SNMP 版本及频率。</x:v>
      </x:c>
      <x:c r="H18" s="9" t="str">
        <x:v>允许批准 MID 访问管理接口，准备只读认证条件。</x:v>
      </x:c>
      <x:c r="I18" s="19" t="str"/>
      <x:c r="J18" s="9" t="str">
        <x:v>S2/S5</x:v>
      </x:c>
    </x:row>
    <x:row r="19" ht="98" customHeight="1">
      <x:c r="A19" s="9" t="str">
        <x:v>C13</x:v>
      </x:c>
      <x:c r="B19" s="9" t="str">
        <x:v>采用 ACC</x:v>
      </x:c>
      <x:c r="C19" s="9" t="str">
        <x:v>ACC 目标 VM IP</x:v>
      </x:c>
      <x:c r="D19" s="9" t="str">
        <x:v>MID Listener IP/FQDN</x:v>
      </x:c>
      <x:c r="E19" s="9" t="str">
        <x:v>WSS / TCP &lt;实际 Listener 端口&gt;
默认参考 8800</x:v>
      </x:c>
      <x:c r="F19" s="9" t="str">
        <x:v>ACC 主动连接 MID WebSocket Listener 并发送数据。正常运行/按 Policy 采集。</x:v>
      </x:c>
      <x:c r="G19" s="19" t="str">
        <x:v>ITOM/SN 管理者配置。待填实际 wss://&lt;MID&gt;:&lt;port&gt;/ws/events、证书及单台 PoC 证据。</x:v>
      </x:c>
      <x:c r="H19" s="9" t="str">
        <x:v>按实际端口放行 ACC 至 MID，配合证书信任/连接验证。</x:v>
      </x:c>
      <x:c r="I19" s="19" t="str"/>
      <x:c r="J19" s="9" t="str">
        <x:v>S3/S7</x:v>
      </x:c>
    </x:row>
    <x:row r="20" ht="98" customHeight="1">
      <x:c r="A20" s="9" t="str">
        <x:v>C14</x:v>
      </x:c>
      <x:c r="B20" s="9" t="str">
        <x:v>证书检查实际需要时</x:v>
      </x:c>
      <x:c r="C20" s="9" t="str">
        <x:v>MID / 安装环境</x:v>
      </x:c>
      <x:c r="D20" s="9" t="str">
        <x:v>实际 OCSP/CRL 等 URL</x:v>
      </x:c>
      <x:c r="E20" s="9" t="str">
        <x:v>HTTP TCP 80 / HTTPS TCP 443 等实际值</x:v>
      </x:c>
      <x:c r="F20" s="9" t="str">
        <x:v>TLS 证书有效性检查。目的域名随证书链与实际日志确认。</x:v>
      </x:c>
      <x:c r="G20" s="19" t="str">
        <x:v>待提供：具体域名、端口、证书链和所需日志依据。</x:v>
      </x:c>
      <x:c r="H20" s="9" t="str">
        <x:v>办理准确目的的访问许可或反馈企业证书机制。</x:v>
      </x:c>
      <x:c r="I20" s="19" t="str"/>
      <x:c r="J20" s="9" t="str">
        <x:v>S1</x:v>
      </x:c>
    </x:row>
    <x:row r="21" ht="98" customHeight="1">
      <x:c r="A21" s="9" t="str">
        <x:v>C15</x:v>
      </x:c>
      <x:c r="B21" s="9" t="str">
        <x:v>既有 OS 时间同步</x:v>
      </x:c>
      <x:c r="C21" s="9" t="str">
        <x:v>MID / 目标主机</x:v>
      </x:c>
      <x:c r="D21" s="9" t="str">
        <x:v>批准的时间源</x:v>
      </x:c>
      <x:c r="E21" s="9" t="str">
        <x:v>NTP UDP 123 等实际机制</x:v>
      </x:c>
      <x:c r="F21" s="9" t="str">
        <x:v>保持 OS 时间。属于基础环境依赖，不是所有安装均需新增的 ITOM 专用端口。</x:v>
      </x:c>
      <x:c r="G21" s="19" t="str">
        <x:v>待提供：测试需要的现有时间同步条件。</x:v>
      </x:c>
      <x:c r="H21" s="9" t="str">
        <x:v>确认既有时间同步可用；新增通信按实际机制处理。</x:v>
      </x:c>
      <x:c r="I21" s="19" t="str"/>
      <x:c r="J21" s="9" t="str">
        <x:v>S4</x:v>
      </x:c>
    </x:row>
    <x:row r="22" ht="98" customHeight="1">
      <x:c r="A22" s="9" t="str">
        <x:v>C16</x:v>
      </x:c>
      <x:c r="B22" s="9" t="str">
        <x:v>采用域认证时</x:v>
      </x:c>
      <x:c r="C22" s="9" t="str">
        <x:v>MID / Windows 目标</x:v>
      </x:c>
      <x:c r="D22" s="9" t="str">
        <x:v>实际域服务</x:v>
      </x:c>
      <x:c r="E22" s="9" t="str">
        <x:v>LDAP/Kerberos/RPC 等采用端口</x:v>
      </x:c>
      <x:c r="F22" s="9" t="str">
        <x:v>域认证/基础服务。用既有 AD 通信标准逐项列明，不能一概全开。</x:v>
      </x:c>
      <x:c r="G22" s="19" t="str">
        <x:v>待提供：采用的域认证方式和必要依赖。</x:v>
      </x:c>
      <x:c r="H22" s="9" t="str">
        <x:v>确认批准的 AD 接入及现有通信条件。</x:v>
      </x:c>
      <x:c r="I22" s="19" t="str"/>
      <x:c r="J22" s="9" t="str">
        <x:v>S4</x:v>
      </x:c>
    </x:row>
    <x:row r="23" ht="98" customHeight="1">
      <x:c r="A23" s="9" t="str">
        <x:v>C17</x:v>
      </x:c>
      <x:c r="B23" s="9" t="str">
        <x:v>IP 范围扫描/分类</x:v>
      </x:c>
      <x:c r="C23" s="9" t="str">
        <x:v>MID Server IP</x:v>
      </x:c>
      <x:c r="D23" s="9" t="str">
        <x:v>批准的目标 IP/CIDR</x:v>
      </x:c>
      <x:c r="E23" s="9" t="str">
        <x:v>按启用 Port Probe 的 TCP/UDP 端口</x:v>
      </x:c>
      <x:c r="F23" s="9" t="str">
        <x:v>发现启动阶段探测，如实际启用 22/135/161/80/443 等。范围和端口由 ITOM 列明。</x:v>
      </x:c>
      <x:c r="G23" s="19" t="str">
        <x:v>待提供：允许 CIDR、启用探针、扫描端口及次数/窗口。</x:v>
      </x:c>
      <x:c r="H23" s="9" t="str">
        <x:v>办理扫描和 IDS 所需通知，确认允许目标与执行条件。</x:v>
      </x:c>
      <x:c r="I23" s="19" t="str"/>
      <x:c r="J23" s="9" t="str">
        <x:v>S2</x:v>
      </x:c>
    </x:row>
    <x:row r="24" ht="98" customHeight="1">
      <x:c r="A24" s="9" t="str">
        <x:v>C18</x:v>
      </x:c>
      <x:c r="B24" s="9" t="str">
        <x:v>所选应用/设备内容需要时</x:v>
      </x:c>
      <x:c r="C24" s="9" t="str">
        <x:v>MID Server IP</x:v>
      </x:c>
      <x:c r="D24" s="9" t="str">
        <x:v>实际 Pattern/API 目标</x:v>
      </x:c>
      <x:c r="E24" s="9" t="str">
        <x:v>TCP/UDP &lt;逐项采用端口&gt;</x:v>
      </x:c>
      <x:c r="F24" s="9" t="str">
        <x:v>额外应用、DB 或虚拟化目标。仅所选内容实际需要时追加。</x:v>
      </x:c>
      <x:c r="G24" s="19" t="str">
        <x:v>待提供：目标/Pattern 与单项端口；示例 SQL 1433 等不是默认全开清单。</x:v>
      </x:c>
      <x:c r="H24" s="9" t="str">
        <x:v>仅对已列明的目标和采用端口办理批准。</x:v>
      </x:c>
      <x:c r="I24" s="19" t="str"/>
      <x:c r="J24" s="9" t="str">
        <x:v>S2/S5</x:v>
      </x:c>
    </x:row>
    <x:row r="25" ht="98" customHeight="1">
      <x:c r="A25" s="9" t="str">
        <x:v>C19</x:v>
      </x:c>
      <x:c r="B25" s="9" t="str">
        <x:v>产品安装/验证的管理访问</x:v>
      </x:c>
      <x:c r="C25" s="9" t="str">
        <x:v>批准的管理发起端</x:v>
      </x:c>
      <x:c r="D25" s="9" t="str">
        <x:v>MID / 目标主机</x:v>
      </x:c>
      <x:c r="E25" s="9" t="str">
        <x:v>RDP TCP 3389 / SSH TCP 22 等实际值</x:v>
      </x:c>
      <x:c r="F25" s="9" t="str">
        <x:v>管理操作，不是 Discovery 数据采集端口。沿用环境批准的管理方式。</x:v>
      </x:c>
      <x:c r="G25" s="19" t="str">
        <x:v>待提供：所需操作与管理访问条件。</x:v>
      </x:c>
      <x:c r="H25" s="9" t="str">
        <x:v>提供或安排批准的管理访问，不要求公网直连。</x:v>
      </x:c>
      <x:c r="I25" s="19" t="str"/>
      <x:c r="J25" s="9" t="str">
        <x:v>S4</x:v>
      </x:c>
    </x:row>
    <x:row r="26" ht="98" customHeight="1">
      <x:c r="A26" s="10" t="str">
        <x:v>C20</x:v>
      </x:c>
      <x:c r="B26" s="10" t="str">
        <x:v>ACC/OS 安装或更新</x:v>
      </x:c>
      <x:c r="C26" s="10" t="str">
        <x:v>实际下载/配布发起端</x:v>
      </x:c>
      <x:c r="D26" s="10" t="str">
        <x:v>批准的软件分发源/目标</x:v>
      </x:c>
      <x:c r="E26" s="10" t="str">
        <x:v>按实际配布协议/端口</x:v>
      </x:c>
      <x:c r="F26" s="10" t="str">
        <x:v>软件配布连接。按实际分发方向确定通信条件。</x:v>
      </x:c>
      <x:c r="G26" s="20" t="str">
        <x:v>待提供：下载/配布路径、方向与时机。</x:v>
      </x:c>
      <x:c r="H26" s="10" t="str">
        <x:v>确认批准的配布机制及权限，办理所需访问。</x:v>
      </x:c>
      <x:c r="I26" s="20" t="str"/>
      <x:c r="J26" s="10" t="str">
        <x:v>实际配布</x:v>
      </x:c>
    </x:row>
    <x:row r="27" ht="26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42" customHeight="1">
      <x:c r="A28" s="4" t="str">
        <x:v>Windows 的 WMI/DCOM、WinRM、SMB 按实际选定方案组合，不要求把所有候选端口一次性开放。扫描端口与认证后采集端口需要分别说明。动态范围或回连需要 ITOM 结合实际 Pattern/Probe 和 OS 配置补齐。</x:v>
      </x:c>
      <x:c r="B28" s="4"/>
      <x:c r="C28" s="4"/>
      <x:c r="D28" s="4"/>
      <x:c r="E28" s="4"/>
      <x:c r="F28" s="4"/>
      <x:c r="G28" s="4"/>
      <x:c r="H28" s="4"/>
      <x:c r="I28" s="4"/>
      <x:c r="J28" s="4"/>
    </x:row>
    <x:row r="29" ht="42" customHeight="1">
      <x:c r="A29" s="4" t="str">
        <x:v>C01 是 MID 至 Instance 的逻辑目的通信。使用 Proxy 时，C03 是实际首跳。ACC 至 MID 的入站 Listener 与 Instance 至 MID 无新建入站连接是不同方向。通信量必须标注观测侧，避免重复计数。</x:v>
      </x:c>
      <x:c r="B29" s="4"/>
      <x:c r="C29" s="4"/>
      <x:c r="D29" s="4"/>
      <x:c r="E29" s="4"/>
      <x:c r="F29" s="4"/>
      <x:c r="G29" s="4"/>
      <x:c r="H29" s="4"/>
      <x:c r="I29" s="4"/>
      <x:c r="J29" s="4"/>
    </x:row>
    <x:row r="30" ht="26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</x:row>
    <x:row r="31" ht="30" customHeight="1">
      <x:c r="A31" s="4" t="str">
        <x:v>官方依据 S1-S5、S7 的文档入口见 01_需求与分工。各环境实际 FW/NSG、路由、DNS、Proxy 的配置方法由相应管理方决定。</x:v>
      </x:c>
      <x:c r="B31" s="4"/>
      <x:c r="C31" s="4"/>
      <x:c r="D31" s="4"/>
      <x:c r="E31" s="4"/>
      <x:c r="F31" s="4"/>
      <x:c r="G31" s="4"/>
      <x:c r="H31" s="4"/>
      <x:c r="I31" s="4"/>
      <x:c r="J31" s="4"/>
    </x:row>
    <x:row r="32" ht="26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</x:row>
    <x:row r="33" ht="26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26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</x:row>
  </x:sheetData>
  <x:mergeCells>
    <x:mergeCell ref="A2:J2"/>
    <x:mergeCell ref="A3:J3"/>
    <x:mergeCell ref="A4:J4"/>
    <x:mergeCell ref="A28:J28"/>
    <x:mergeCell ref="A29:J29"/>
    <x:mergeCell ref="A31:J31"/>
  </x:mergeCells>
  <x:pageMargins left="0.7" right="0.7" top="0.75" bottom="0.75" header="0.3" footer="0.3"/>
  <x:tableParts count="1">
    <x:tablePart xmlns:r="http://schemas.openxmlformats.org/officeDocument/2006/relationships" r:id="R52f9579f8ee540a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.5" hidden="0" customWidth="1"/>
    <x:col min="2" max="2" width="26.8799991607666" hidden="0" customWidth="1"/>
    <x:col min="3" max="3" width="27.5" hidden="0" customWidth="1"/>
    <x:col min="4" max="4" width="12.5" hidden="0" customWidth="1"/>
    <x:col min="5" max="5" width="15" hidden="0" customWidth="1"/>
    <x:col min="6" max="6" width="13.75" hidden="0" customWidth="1"/>
    <x:col min="7" max="7" width="15" hidden="0" customWidth="1"/>
    <x:col min="8" max="8" width="16.25" hidden="0" customWidth="1"/>
    <x:col min="9" max="9" width="16.25" hidden="0" customWidth="1"/>
    <x:col min="10" max="10" width="37.5" hidden="0" customWidth="1"/>
  </x:cols>
  <x:sheetData>
    <x:row r="1" ht="26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6" t="str">
        <x:v>日常运行通信量与概算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38" customHeight="1">
      <x:c r="A3" s="4" t="str">
        <x:v>ITOM 提供稳定运行及定期 Discovery 的流量。ACC 至 MID 与 MID 至 Instance 分开。单位：1 MB = 1,000,000 Bytes，1 GB = 1,000,000,000 Bytes。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36" customHeight="1">
      <x:c r="A4" s="4" t="str">
        <x:v>已完成单台 ACC 链路测试，当前尚未提供可归属到具体路径的原始 Bytes、测量期间及采集周期。正式每日量待实测；下方未测值不会按 0 处理。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 ht="36" customHeight="1">
      <x:c r="A5" s="4" t="str">
        <x:v>E 引用实测记录。F 填实际数量，G 填每日执行次数；按日原单位的 G 为 1。定期 Discovery：H = 每次 MB × 台数 × 次数/日。H 是流量概算，非环境部署方案。</x:v>
      </x:c>
      <x:c r="B5" s="4"/>
      <x:c r="C5" s="4"/>
      <x:c r="D5" s="4"/>
      <x:c r="E5" s="4"/>
      <x:c r="F5" s="4"/>
      <x:c r="G5" s="4"/>
      <x:c r="H5" s="4"/>
      <x:c r="I5" s="4"/>
      <x:c r="J5" s="4"/>
    </x:row>
    <x:row r="6" ht="40" customHeight="1">
      <x:c r="A6" s="16" t="str">
        <x:v>通信 ID</x:v>
      </x:c>
      <x:c r="B6" s="17" t="str">
        <x:v>路径</x:v>
      </x:c>
      <x:c r="C6" s="17" t="str">
        <x:v>日常采集 / 原单位</x:v>
      </x:c>
      <x:c r="D6" s="17" t="str">
        <x:v>实测记录 ID</x:v>
      </x:c>
      <x:c r="E6" s="17" t="str">
        <x:v>实测原单位 MB</x:v>
      </x:c>
      <x:c r="F6" s="17" t="str">
        <x:v>应用数量
台 / IP</x:v>
      </x:c>
      <x:c r="G6" s="17" t="str">
        <x:v>执行次数/日
按日单位填 1</x:v>
      </x:c>
      <x:c r="H6" s="17" t="str">
        <x:v>每日概算
MB/日</x:v>
      </x:c>
      <x:c r="I6" s="17" t="str">
        <x:v>日均 Mbps
非峰值</x:v>
      </x:c>
      <x:c r="J6" s="18" t="str">
        <x:v>适用条件 / 环境回复</x:v>
      </x:c>
    </x:row>
    <x:row r="7" ht="69" customHeight="1">
      <x:c r="A7" s="9" t="str">
        <x:v>C13</x:v>
      </x:c>
      <x:c r="B7" s="9" t="str">
        <x:v>ACC 至 MID</x:v>
      </x:c>
      <x:c r="C7" s="9" t="str">
        <x:v>正常运行
MB/ACC/日</x:v>
      </x:c>
      <x:c r="D7" s="9" t="str">
        <x:v>L02</x:v>
      </x:c>
      <x:c r="E7" s="27" t="str">
        <x:f>IF(COUNTIFS('04_PoC实测记录'!$A$11:$A$17,D7)&lt;&gt;1,"待实测",IF(INDEX('04_PoC实测记录'!$N$11:$N$17,MATCH(D7,'04_PoC实测记录'!$A$11:$A$17,0))="待测","待实测",IF(INDEX('04_PoC实测记录'!$N$11:$N$17,MATCH(D7,'04_PoC实测记录'!$A$11:$A$17,0))&lt;&gt;"目标流已确认","待归属确认",IF(INDEX('04_PoC实测记录'!$M$11:$M$17,MATCH(D7,'04_PoC实测记录'!$A$11:$A$17,0))="","待证据",IF(ISNUMBER(INDEX('04_PoC实测记录'!$L$11:$L$17,MATCH(D7,'04_PoC实测记录'!$A$11:$A$17,0))),INDEX('04_PoC实测记录'!$L$11:$L$17,MATCH(D7,'04_PoC实测记录'!$A$11:$A$17,0)),"待实测")))))</x:f>
        <x:v>待实测</x:v>
      </x:c>
      <x:c r="F7" s="31"/>
      <x:c r="G7" s="37" t="n">
        <x:v>1</x:v>
      </x:c>
      <x:c r="H7" s="39" t="str">
        <x:f>IF(AND(ISNUMBER(E7),ISNUMBER(F7),ISNUMBER(G7)),IF(OR(F7&lt;=0,G7&lt;=0),"需核对",E7*F7*G7),"待输入")</x:f>
        <x:v>待输入</x:v>
      </x:c>
      <x:c r="I7" s="40" t="str">
        <x:f>IF(ISNUMBER(H7),H7*8/86400,"待输入")</x:f>
        <x:v>待输入</x:v>
      </x:c>
      <x:c r="J7" s="19" t="str">
        <x:v>完整稳定观察期；注明 Policy/Check 周期及重连。</x:v>
      </x:c>
    </x:row>
    <x:row r="8" ht="69" customHeight="1">
      <x:c r="A8" s="9" t="str">
        <x:v>C01</x:v>
      </x:c>
      <x:c r="B8" s="9" t="str">
        <x:v>MID 至 Instance</x:v>
      </x:c>
      <x:c r="C8" s="9" t="str">
        <x:v>正常运行
MB/MID/日</x:v>
      </x:c>
      <x:c r="D8" s="9" t="str">
        <x:v>L04</x:v>
      </x:c>
      <x:c r="E8" s="27" t="str">
        <x:f>IF(COUNTIFS('04_PoC实测记录'!$A$11:$A$17,D8)&lt;&gt;1,"待实测",IF(INDEX('04_PoC实测记录'!$N$11:$N$17,MATCH(D8,'04_PoC实测记录'!$A$11:$A$17,0))="待测","待实测",IF(INDEX('04_PoC实测记录'!$N$11:$N$17,MATCH(D8,'04_PoC实测记录'!$A$11:$A$17,0))&lt;&gt;"目标流已确认","待归属确认",IF(INDEX('04_PoC实测记录'!$M$11:$M$17,MATCH(D8,'04_PoC实测记录'!$A$11:$A$17,0))="","待证据",IF(ISNUMBER(INDEX('04_PoC实测记录'!$L$11:$L$17,MATCH(D8,'04_PoC实测记录'!$A$11:$A$17,0))),INDEX('04_PoC实测记录'!$L$11:$L$17,MATCH(D8,'04_PoC实测记录'!$A$11:$A$17,0)),"待实测")))))</x:f>
        <x:v>待实测</x:v>
      </x:c>
      <x:c r="F8" s="31"/>
      <x:c r="G8" s="37" t="n">
        <x:v>1</x:v>
      </x:c>
      <x:c r="H8" s="39" t="str">
        <x:f>IF(AND(ISNUMBER(E8),ISNUMBER(F8),ISNUMBER(G8)),IF(OR(F8&lt;=0,G8&lt;=0),"需核对",E8*F8*G8),"待输入")</x:f>
        <x:v>待输入</x:v>
      </x:c>
      <x:c r="I8" s="40" t="str">
        <x:f>IF(ISNUMBER(H8),H8*8/86400,"待输入")</x:f>
        <x:v>待输入</x:v>
      </x:c>
      <x:c r="J8" s="19" t="str">
        <x:v>按 MID 原单位；不能直接按 ACC 台数放大。</x:v>
      </x:c>
    </x:row>
    <x:row r="9" ht="69" customHeight="1">
      <x:c r="A9" s="9" t="str">
        <x:v>C07-C11</x:v>
      </x:c>
      <x:c r="B9" s="9" t="str">
        <x:v>MID 至 Windows（实际采用方式）</x:v>
      </x:c>
      <x:c r="C9" s="9" t="str">
        <x:v>定期 Discovery
MB/目标/次</x:v>
      </x:c>
      <x:c r="D9" s="9" t="str">
        <x:v>L06</x:v>
      </x:c>
      <x:c r="E9" s="27" t="str">
        <x:f>IF(COUNTIFS('04_PoC实测记录'!$A$11:$A$17,D9)&lt;&gt;1,"待实测",IF(INDEX('04_PoC实测记录'!$N$11:$N$17,MATCH(D9,'04_PoC实测记录'!$A$11:$A$17,0))="待测","待实测",IF(INDEX('04_PoC实测记录'!$N$11:$N$17,MATCH(D9,'04_PoC实测记录'!$A$11:$A$17,0))&lt;&gt;"目标流已确认","待归属确认",IF(INDEX('04_PoC实测记录'!$M$11:$M$17,MATCH(D9,'04_PoC实测记录'!$A$11:$A$17,0))="","待证据",IF(ISNUMBER(INDEX('04_PoC实测记录'!$L$11:$L$17,MATCH(D9,'04_PoC实测记录'!$A$11:$A$17,0))),INDEX('04_PoC实测记录'!$L$11:$L$17,MATCH(D9,'04_PoC实测记录'!$A$11:$A$17,0)),"待实测")))))</x:f>
        <x:v>待实测</x:v>
      </x:c>
      <x:c r="F9" s="31"/>
      <x:c r="G9" s="37"/>
      <x:c r="H9" s="39" t="str">
        <x:f>IF(AND(ISNUMBER(E9),ISNUMBER(F9),ISNUMBER(G9)),IF(OR(F9&lt;=0,G9&lt;=0),"需核对",E9*F9*G9),"待输入")</x:f>
        <x:v>待输入</x:v>
      </x:c>
      <x:c r="I9" s="40" t="str">
        <x:f>IF(ISNUMBER(H9),H9*8/86400,"待输入")</x:f>
        <x:v>待输入</x:v>
      </x:c>
      <x:c r="J9" s="19" t="str">
        <x:v>记录所用 WMI/WinRM/SMB。按日常调度次数换算。</x:v>
      </x:c>
    </x:row>
    <x:row r="10" ht="69" customHeight="1">
      <x:c r="A10" s="9" t="str">
        <x:v>C06</x:v>
      </x:c>
      <x:c r="B10" s="9" t="str">
        <x:v>MID 至 Linux/Unix</x:v>
      </x:c>
      <x:c r="C10" s="9" t="str">
        <x:v>定期 Discovery
MB/目标/次</x:v>
      </x:c>
      <x:c r="D10" s="9" t="str">
        <x:v>L08</x:v>
      </x:c>
      <x:c r="E10" s="27" t="str">
        <x:f>IF(COUNTIFS('04_PoC实测记录'!$A$11:$A$17,D10)&lt;&gt;1,"待实测",IF(INDEX('04_PoC实测记录'!$N$11:$N$17,MATCH(D10,'04_PoC实测记录'!$A$11:$A$17,0))="待测","待实测",IF(INDEX('04_PoC实测记录'!$N$11:$N$17,MATCH(D10,'04_PoC实测记录'!$A$11:$A$17,0))&lt;&gt;"目标流已确认","待归属确认",IF(INDEX('04_PoC实测记录'!$M$11:$M$17,MATCH(D10,'04_PoC实测记录'!$A$11:$A$17,0))="","待证据",IF(ISNUMBER(INDEX('04_PoC实测记录'!$L$11:$L$17,MATCH(D10,'04_PoC实测记录'!$A$11:$A$17,0))),INDEX('04_PoC实测记录'!$L$11:$L$17,MATCH(D10,'04_PoC实测记录'!$A$11:$A$17,0)),"待实测")))))</x:f>
        <x:v>待实测</x:v>
      </x:c>
      <x:c r="F10" s="31"/>
      <x:c r="G10" s="37"/>
      <x:c r="H10" s="39" t="str">
        <x:f>IF(AND(ISNUMBER(E10),ISNUMBER(F10),ISNUMBER(G10)),IF(OR(F10&lt;=0,G10&lt;=0),"需核对",E10*F10*G10),"待输入")</x:f>
        <x:v>待输入</x:v>
      </x:c>
      <x:c r="I10" s="40" t="str">
        <x:f>IF(ISNUMBER(H10),H10*8/86400,"待输入")</x:f>
        <x:v>待输入</x:v>
      </x:c>
      <x:c r="J10" s="19" t="str">
        <x:v>按日常 Pattern、目标和执行频率实测。</x:v>
      </x:c>
    </x:row>
    <x:row r="11" ht="69" customHeight="1">
      <x:c r="A11" s="9" t="str">
        <x:v>C12</x:v>
      </x:c>
      <x:c r="B11" s="9" t="str">
        <x:v>MID 至网络设备</x:v>
      </x:c>
      <x:c r="C11" s="9" t="str">
        <x:v>定期 Discovery
MB/设备/次</x:v>
      </x:c>
      <x:c r="D11" s="9" t="str">
        <x:v>L10</x:v>
      </x:c>
      <x:c r="E11" s="27" t="str">
        <x:f>IF(COUNTIFS('04_PoC实测记录'!$A$11:$A$17,D11)&lt;&gt;1,"待实测",IF(INDEX('04_PoC实测记录'!$N$11:$N$17,MATCH(D11,'04_PoC实测记录'!$A$11:$A$17,0))="待测","待实测",IF(INDEX('04_PoC实测记录'!$N$11:$N$17,MATCH(D11,'04_PoC实测记录'!$A$11:$A$17,0))&lt;&gt;"目标流已确认","待归属确认",IF(INDEX('04_PoC实测记录'!$M$11:$M$17,MATCH(D11,'04_PoC实测记录'!$A$11:$A$17,0))="","待证据",IF(ISNUMBER(INDEX('04_PoC实测记录'!$L$11:$L$17,MATCH(D11,'04_PoC实测记录'!$A$11:$A$17,0))),INDEX('04_PoC实测记录'!$L$11:$L$17,MATCH(D11,'04_PoC实测记录'!$A$11:$A$17,0)),"待实测")))))</x:f>
        <x:v>待实测</x:v>
      </x:c>
      <x:c r="F11" s="31"/>
      <x:c r="G11" s="37"/>
      <x:c r="H11" s="39" t="str">
        <x:f>IF(AND(ISNUMBER(E11),ISNUMBER(F11),ISNUMBER(G11)),IF(OR(F11&lt;=0,G11&lt;=0),"需核对",E11*F11*G11),"待输入")</x:f>
        <x:v>待输入</x:v>
      </x:c>
      <x:c r="I11" s="40" t="str">
        <x:f>IF(ISNUMBER(H11),H11*8/86400,"待输入")</x:f>
        <x:v>待输入</x:v>
      </x:c>
      <x:c r="J11" s="19" t="str">
        <x:v>按设备类型、SNMP 内容和日常调度次数实测。</x:v>
      </x:c>
    </x:row>
    <x:row r="12" ht="69" customHeight="1">
      <x:c r="A12" s="9" t="str">
        <x:v>C04/C05</x:v>
      </x:c>
      <x:c r="B12" s="9" t="str">
        <x:v>DNS（采用的解析路径）</x:v>
      </x:c>
      <x:c r="C12" s="9" t="str">
        <x:v>正常运行
MB/观测主机/日</x:v>
      </x:c>
      <x:c r="D12" s="9" t="str">
        <x:v>L14</x:v>
      </x:c>
      <x:c r="E12" s="27" t="str">
        <x:f>IF(COUNTIFS('04_PoC实测记录'!$A$11:$A$17,D12)&lt;&gt;1,"待实测",IF(INDEX('04_PoC实测记录'!$N$11:$N$17,MATCH(D12,'04_PoC实测记录'!$A$11:$A$17,0))="待测","待实测",IF(INDEX('04_PoC实测记录'!$N$11:$N$17,MATCH(D12,'04_PoC实测记录'!$A$11:$A$17,0))&lt;&gt;"目标流已确认","待归属确认",IF(INDEX('04_PoC实测记录'!$M$11:$M$17,MATCH(D12,'04_PoC实测记录'!$A$11:$A$17,0))="","待证据",IF(ISNUMBER(INDEX('04_PoC实测记录'!$L$11:$L$17,MATCH(D12,'04_PoC实测记录'!$A$11:$A$17,0))),INDEX('04_PoC实测记录'!$L$11:$L$17,MATCH(D12,'04_PoC实测记录'!$A$11:$A$17,0)),"待实测")))))</x:f>
        <x:v>待实测</x:v>
      </x:c>
      <x:c r="F12" s="31"/>
      <x:c r="G12" s="37" t="n">
        <x:v>1</x:v>
      </x:c>
      <x:c r="H12" s="39" t="str">
        <x:f>IF(AND(ISNUMBER(E12),ISNUMBER(F12),ISNUMBER(G12)),IF(OR(F12&lt;=0,G12&lt;=0),"需核对",E12*F12*G12),"待输入")</x:f>
        <x:v>待输入</x:v>
      </x:c>
      <x:c r="I12" s="40" t="str">
        <x:f>IF(ISNUMBER(H12),H12*8/86400,"待输入")</x:f>
        <x:v>待输入</x:v>
      </x:c>
      <x:c r="J12" s="19" t="str">
        <x:v>若需要独立评价 DNS；和已含 DNS 的全 VM 流量不能叠加。</x:v>
      </x:c>
    </x:row>
    <x:row r="13" ht="69" customHeight="1">
      <x:c r="A13" s="10" t="str">
        <x:v>C17</x:v>
      </x:c>
      <x:c r="B13" s="10" t="str">
        <x:v>MID 至批准扫描范围</x:v>
      </x:c>
      <x:c r="C13" s="10" t="str">
        <x:v>定期扫描
MB/被测 IP/次</x:v>
      </x:c>
      <x:c r="D13" s="10" t="str">
        <x:v>L15</x:v>
      </x:c>
      <x:c r="E13" s="29" t="str">
        <x:f>IF(COUNTIFS('04_PoC实测记录'!$A$11:$A$17,D13)&lt;&gt;1,"待实测",IF(INDEX('04_PoC实测记录'!$N$11:$N$17,MATCH(D13,'04_PoC实测记录'!$A$11:$A$17,0))="待测","待实测",IF(INDEX('04_PoC实测记录'!$N$11:$N$17,MATCH(D13,'04_PoC实测记录'!$A$11:$A$17,0))&lt;&gt;"目标流已确认","待归属确认",IF(INDEX('04_PoC实测记录'!$M$11:$M$17,MATCH(D13,'04_PoC实测记录'!$A$11:$A$17,0))="","待证据",IF(ISNUMBER(INDEX('04_PoC实测记录'!$L$11:$L$17,MATCH(D13,'04_PoC实测记录'!$A$11:$A$17,0))),INDEX('04_PoC实测记录'!$L$11:$L$17,MATCH(D13,'04_PoC实测记录'!$A$11:$A$17,0)),"待实测")))))</x:f>
        <x:v>待实测</x:v>
      </x:c>
      <x:c r="F13" s="32"/>
      <x:c r="G13" s="38"/>
      <x:c r="H13" s="41" t="str">
        <x:f>IF(AND(ISNUMBER(E13),ISNUMBER(F13),ISNUMBER(G13)),IF(OR(F13&lt;=0,G13&lt;=0),"需核对",E13*F13*G13),"待输入")</x:f>
        <x:v>待输入</x:v>
      </x:c>
      <x:c r="I13" s="42" t="str">
        <x:f>IF(ISNUMBER(H13),H13*8/86400,"待输入")</x:f>
        <x:v>待输入</x:v>
      </x:c>
      <x:c r="J13" s="20" t="str">
        <x:v>日常调度包含范围扫描时计入。避免与同次 Discovery 已含扫描的测量重复。</x:v>
      </x:c>
    </x:row>
    <x:row r="14" ht="26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</x:row>
    <x:row r="15" ht="27" customHeight="1">
      <x:c r="A15" s="24" t="str">
        <x:v>日常流量口径与环境方确认</x:v>
      </x:c>
      <x:c r="B15" s="24"/>
      <x:c r="C15" s="24"/>
      <x:c r="D15" s="24"/>
      <x:c r="E15" s="24"/>
      <x:c r="F15" s="24"/>
      <x:c r="G15" s="24"/>
      <x:c r="H15" s="24"/>
      <x:c r="I15" s="24"/>
      <x:c r="J15" s="24"/>
    </x:row>
    <x:row r="16" ht="36" customHeight="1">
      <x:c r="A16" s="4" t="str">
        <x:v>H 为日常每日概算 MB。ACC/MID 的按日原单位乘数量。定期 Discovery 每次量乘台数及每天次数；每周一次的 G 可填公式 =1/7，表示日均，不代表每天都发生相同量。</x:v>
      </x:c>
      <x:c r="B16" s="4"/>
      <x:c r="C16" s="4"/>
      <x:c r="D16" s="4"/>
      <x:c r="E16" s="4"/>
      <x:c r="F16" s="4"/>
      <x:c r="G16" s="4"/>
      <x:c r="H16" s="4"/>
      <x:c r="I16" s="4"/>
      <x:c r="J16" s="4"/>
    </x:row>
    <x:row r="17" ht="38" customHeight="1">
      <x:c r="A17" s="4" t="str">
        <x:v>MID 的 MB/MID/日包含该 MID 的轮询和实际工作负载。不同 ACC 数量/任务并发会改变它，不能把单台 ACC 基准直接当成 MID 恒定每日量；需要按实际日常负载实测。</x:v>
      </x:c>
      <x:c r="B17" s="4"/>
      <x:c r="C17" s="4"/>
      <x:c r="D17" s="4"/>
      <x:c r="E17" s="4"/>
      <x:c r="F17" s="4"/>
      <x:c r="G17" s="4"/>
      <x:c r="H17" s="4"/>
      <x:c r="I17" s="4"/>
      <x:c r="J17" s="4"/>
    </x:row>
    <x:row r="18" ht="36" customHeight="1">
      <x:c r="A18" s="4" t="str">
        <x:v>日均 Mbps = 每日 MB × 8 ÷ 86,400。它不表示峰值；环境方要求时，我方另提供日常采集期间固定采样间隔的速率实测。</x:v>
      </x:c>
      <x:c r="B18" s="4"/>
      <x:c r="C18" s="4"/>
      <x:c r="D18" s="4"/>
      <x:c r="E18" s="4"/>
      <x:c r="F18" s="4"/>
      <x:c r="G18" s="4"/>
      <x:c r="H18" s="4"/>
      <x:c r="I18" s="4"/>
      <x:c r="J18" s="4"/>
    </x:row>
    <x:row r="19" ht="36" customHeight="1">
      <x:c r="A19" s="4" t="str">
        <x:v>环境方回复：实际设备/ACC/MID 数量、执行频率、需要评估的回线、能否接受、带宽/时间限制和现场差异。我方提供实测及概算，不替环境方选择回线、路由或资源部署方案。</x:v>
      </x:c>
      <x:c r="B19" s="4"/>
      <x:c r="C19" s="4"/>
      <x:c r="D19" s="4"/>
      <x:c r="E19" s="4"/>
      <x:c r="F19" s="4"/>
      <x:c r="G19" s="4"/>
      <x:c r="H19" s="4"/>
      <x:c r="I19" s="4"/>
      <x:c r="J19" s="4"/>
    </x:row>
    <x:row r="20" ht="36" customHeight="1">
      <x:c r="A20" s="4" t="str">
        <x:v>不直接相加 ACC VM 与 MID VM 的整体收发量。同一链路两端会重复计数；C13（内部）和 C01（出口）也应按各自评估回线分别呈现。定期扫描已含在某次 Discovery 量中时，不再次叠加。</x:v>
      </x:c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26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35" customHeight="1">
      <x:c r="A22" s="4" t="str">
        <x:v>参考：S6 Azure VM 网络指标。计算与记录方法吸收《Discovery_通信要件・通信量整理表.xlsx》“通信量見積”“測定記録”。日常量由 ITOM 在稳定运行期间实测后提供。</x:v>
      </x:c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26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26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26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</x:sheetData>
  <x:mergeCells>
    <x:mergeCell ref="A2:J2"/>
    <x:mergeCell ref="A3:J3"/>
    <x:mergeCell ref="A4:J4"/>
    <x:mergeCell ref="A5:J5"/>
    <x:mergeCell ref="A15:J15"/>
    <x:mergeCell ref="A16:J16"/>
    <x:mergeCell ref="A17:J17"/>
    <x:mergeCell ref="A18:J18"/>
    <x:mergeCell ref="A19:J19"/>
    <x:mergeCell ref="A20:J20"/>
    <x:mergeCell ref="A22:J22"/>
  </x:mergeCells>
  <x:pageMargins left="0.7" right="0.7" top="0.75" bottom="0.75" header="0.3" footer="0.3"/>
  <x:tableParts count="1">
    <x:tablePart xmlns:r="http://schemas.openxmlformats.org/officeDocument/2006/relationships" r:id="R2f07694e9250471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10" topLeftCell="E11" activePane="bottomRight" state="frozen"/>
    </x:sheetView>
  </x:sheetViews>
  <x:sheetFormatPr defaultRowHeight="15"/>
  <x:cols>
    <x:col min="1" max="1" width="8.130000114440918" hidden="0" customWidth="1"/>
    <x:col min="2" max="2" width="13.75" hidden="0" customWidth="1"/>
    <x:col min="3" max="3" width="13.130000114440918" hidden="0" customWidth="1"/>
    <x:col min="4" max="4" width="31.25" hidden="0" customWidth="1"/>
    <x:col min="5" max="5" width="19.3799991607666" hidden="0" customWidth="1"/>
    <x:col min="6" max="6" width="19.3799991607666" hidden="0" customWidth="1"/>
    <x:col min="7" max="7" width="11.880000114440918" hidden="0" customWidth="1"/>
    <x:col min="8" max="8" width="12.5" hidden="0" customWidth="1"/>
    <x:col min="9" max="9" width="18.75" hidden="0" customWidth="1"/>
    <x:col min="10" max="10" width="18.75" hidden="0" customWidth="1"/>
    <x:col min="11" max="11" width="13.75" hidden="0" customWidth="1"/>
    <x:col min="12" max="12" width="15" hidden="0" customWidth="1"/>
    <x:col min="13" max="13" width="30.6299991607666" hidden="0" customWidth="1"/>
    <x:col min="14" max="14" width="18.75" hidden="0" customWidth="1"/>
  </x:cols>
  <x:sheetData>
    <x:row r="1" ht="26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4" customHeight="1">
      <x:c r="A2" s="6" t="str">
        <x:v>日常运行 PoC 实测记录（ITOM 填写）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38" customHeight="1">
      <x:c r="A3" s="4" t="str">
        <x:v>记录稳定运行期间总接收/发送 Bytes。Azure Metrics 用同一 Scope、绝对起止时间、Network In/Out Total 的 Sum。累计计数器先计算差分，再填写 I/J。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36" customHeight="1">
      <x:c r="A4" s="7" t="str">
        <x:v>PoC 版本/配置：ACC 版本、MID 版本、Instance 版本、OS、Policy/Check 名称与周期、backend-url 实际端口、Proxy/TLS 条件：待 ITOM 填写（不得填写 api-key 或密码）。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</x:row>
    <x:row r="5" ht="36" customHeight="1">
      <x:c r="A5" s="4" t="str">
        <x:v>观测边界：优先单侧识别目标 IP/端口的流量。Azure VM Network In/Out Total 包括所有网卡和其他通信，只有 VM 指标时 N 标记“VM整体值”，不直接用于目标流概算。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</x:row>
    <x:row r="6" ht="32" customHeight="1">
      <x:c r="A6" s="4" t="str">
        <x:v>G 是原单位参与数量：ACC 台数、选定 MID 台数、目标设备数或被测 IP 数。H 是采集次数；“正常运行”的 H 根据 E/F 自动算观察天数，不要求恰好 1 天。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</x:row>
    <x:row r="7" ht="34" customHeight="1">
      <x:c r="A7" s="4" t="str">
        <x:v>在采集链路稳定后测量日常运行，至少覆盖完整采集周期。定期 Discovery 按日常调度记录每次采集量及次数。M 保存证据编号、采集条件、成功/失败及重试情况。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</x:row>
    <x:row r="8" ht="26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</x:row>
    <x:row r="9" ht="26" customHeight="1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</x:row>
    <x:row r="10" ht="40" customHeight="1">
      <x:c r="A10" s="16" t="str">
        <x:v>记录 ID</x:v>
      </x:c>
      <x:c r="B10" s="17" t="str">
        <x:v>通信 ID</x:v>
      </x:c>
      <x:c r="C10" s="17" t="str">
        <x:v>日常采集类型</x:v>
      </x:c>
      <x:c r="D10" s="17" t="str">
        <x:v>单侧观测对象 / 边界</x:v>
      </x:c>
      <x:c r="E10" s="17" t="str">
        <x:v>开始时间 JST</x:v>
      </x:c>
      <x:c r="F10" s="17" t="str">
        <x:v>结束时间 JST</x:v>
      </x:c>
      <x:c r="G10" s="17" t="str">
        <x:v>台数 / IP数</x:v>
      </x:c>
      <x:c r="H10" s="17" t="str">
        <x:v>次数 / 观察天数</x:v>
      </x:c>
      <x:c r="I10" s="17" t="str">
        <x:v>接收 Bytes
期间合计</x:v>
      </x:c>
      <x:c r="J10" s="17" t="str">
        <x:v>发送 Bytes
期间合计</x:v>
      </x:c>
      <x:c r="K10" s="17" t="str">
        <x:v>合计 MB</x:v>
      </x:c>
      <x:c r="L10" s="17" t="str">
        <x:v>原单位 MB
按台/次或日</x:v>
      </x:c>
      <x:c r="M10" s="17" t="str">
        <x:v>证据编号 / 条件</x:v>
      </x:c>
      <x:c r="N10" s="18" t="str">
        <x:v>归属确认</x:v>
      </x:c>
    </x:row>
    <x:row r="11" ht="67" customHeight="1">
      <x:c r="A11" s="9" t="str">
        <x:v>L02</x:v>
      </x:c>
      <x:c r="B11" s="9" t="str">
        <x:v>C13</x:v>
      </x:c>
      <x:c r="C11" s="9" t="str">
        <x:v>正常运行</x:v>
      </x:c>
      <x:c r="D11" s="19" t="str">
        <x:v>ACC 至 MID</x:v>
      </x:c>
      <x:c r="E11" s="43"/>
      <x:c r="F11" s="43"/>
      <x:c r="G11" s="49" t="n">
        <x:v>1</x:v>
      </x:c>
      <x:c r="H11" s="53" t="str">
        <x:f>IF(COUNT(E11:F11)&lt;&gt;2,"待测",IF(F11&lt;=E11,"需核对",F11-E11))</x:f>
        <x:v>待测</x:v>
      </x:c>
      <x:c r="I11" s="45"/>
      <x:c r="J11" s="45"/>
      <x:c r="K11" s="27" t="str">
        <x:f>IF(COUNT(I11:J11)&lt;&gt;2,"待测",IF(MIN(I11:J11)&lt;0,"需核对",SUM(I11:J11)/1000000))</x:f>
        <x:v>待测</x:v>
      </x:c>
      <x:c r="L11" s="27" t="str">
        <x:f>IF(AND(ISNUMBER(K11),ISNUMBER(G11),ISNUMBER(H11),COUNT(E11:F11)=2),IF(OR(G11&lt;=0,H11&lt;=0,F11&lt;=E11),"需核对",K11/G11/H11),"待测")</x:f>
        <x:v>待测</x:v>
      </x:c>
      <x:c r="M11" s="19" t="str"/>
      <x:c r="N11" s="19" t="str">
        <x:v>待测</x:v>
      </x:c>
    </x:row>
    <x:row r="12" ht="67" customHeight="1">
      <x:c r="A12" s="9" t="str">
        <x:v>L04</x:v>
      </x:c>
      <x:c r="B12" s="9" t="str">
        <x:v>C01</x:v>
      </x:c>
      <x:c r="C12" s="9" t="str">
        <x:v>正常运行</x:v>
      </x:c>
      <x:c r="D12" s="19" t="str">
        <x:v>MID 至 Instance</x:v>
      </x:c>
      <x:c r="E12" s="43"/>
      <x:c r="F12" s="43"/>
      <x:c r="G12" s="49" t="n">
        <x:v>1</x:v>
      </x:c>
      <x:c r="H12" s="53" t="str">
        <x:f>IF(COUNT(E12:F12)&lt;&gt;2,"待测",IF(F12&lt;=E12,"需核对",F12-E12))</x:f>
        <x:v>待测</x:v>
      </x:c>
      <x:c r="I12" s="45"/>
      <x:c r="J12" s="45"/>
      <x:c r="K12" s="27" t="str">
        <x:f>IF(COUNT(I12:J12)&lt;&gt;2,"待测",IF(MIN(I12:J12)&lt;0,"需核对",SUM(I12:J12)/1000000))</x:f>
        <x:v>待测</x:v>
      </x:c>
      <x:c r="L12" s="27" t="str">
        <x:f>IF(AND(ISNUMBER(K12),ISNUMBER(G12),ISNUMBER(H12),COUNT(E12:F12)=2),IF(OR(G12&lt;=0,H12&lt;=0,F12&lt;=E12),"需核对",K12/G12/H12),"待测")</x:f>
        <x:v>待测</x:v>
      </x:c>
      <x:c r="M12" s="19" t="str"/>
      <x:c r="N12" s="19" t="str">
        <x:v>待测</x:v>
      </x:c>
    </x:row>
    <x:row r="13" ht="67" customHeight="1">
      <x:c r="A13" s="9" t="str">
        <x:v>L06</x:v>
      </x:c>
      <x:c r="B13" s="9" t="str">
        <x:v>C07-C11</x:v>
      </x:c>
      <x:c r="C13" s="9" t="str">
        <x:v>定期 Discovery</x:v>
      </x:c>
      <x:c r="D13" s="19" t="str">
        <x:v>MID 至 Windows（实际采用方式）</x:v>
      </x:c>
      <x:c r="E13" s="43"/>
      <x:c r="F13" s="43"/>
      <x:c r="G13" s="49"/>
      <x:c r="H13" s="50"/>
      <x:c r="I13" s="45"/>
      <x:c r="J13" s="45"/>
      <x:c r="K13" s="27" t="str">
        <x:f>IF(COUNT(I13:J13)&lt;&gt;2,"待测",IF(MIN(I13:J13)&lt;0,"需核对",SUM(I13:J13)/1000000))</x:f>
        <x:v>待测</x:v>
      </x:c>
      <x:c r="L13" s="27" t="str">
        <x:f>IF(AND(ISNUMBER(K13),ISNUMBER(G13),ISNUMBER(H13),COUNT(E13:F13)=2),IF(OR(G13&lt;=0,H13&lt;=0,F13&lt;=E13),"需核对",K13/G13/H13),"待测")</x:f>
        <x:v>待测</x:v>
      </x:c>
      <x:c r="M13" s="19" t="str"/>
      <x:c r="N13" s="19" t="str">
        <x:v>待测</x:v>
      </x:c>
    </x:row>
    <x:row r="14" ht="67" customHeight="1">
      <x:c r="A14" s="9" t="str">
        <x:v>L08</x:v>
      </x:c>
      <x:c r="B14" s="9" t="str">
        <x:v>C06</x:v>
      </x:c>
      <x:c r="C14" s="9" t="str">
        <x:v>定期 Discovery</x:v>
      </x:c>
      <x:c r="D14" s="19" t="str">
        <x:v>MID 至 Linux/Unix</x:v>
      </x:c>
      <x:c r="E14" s="43"/>
      <x:c r="F14" s="43"/>
      <x:c r="G14" s="49"/>
      <x:c r="H14" s="50"/>
      <x:c r="I14" s="45"/>
      <x:c r="J14" s="45"/>
      <x:c r="K14" s="27" t="str">
        <x:f>IF(COUNT(I14:J14)&lt;&gt;2,"待测",IF(MIN(I14:J14)&lt;0,"需核对",SUM(I14:J14)/1000000))</x:f>
        <x:v>待测</x:v>
      </x:c>
      <x:c r="L14" s="27" t="str">
        <x:f>IF(AND(ISNUMBER(K14),ISNUMBER(G14),ISNUMBER(H14),COUNT(E14:F14)=2),IF(OR(G14&lt;=0,H14&lt;=0,F14&lt;=E14),"需核对",K14/G14/H14),"待测")</x:f>
        <x:v>待测</x:v>
      </x:c>
      <x:c r="M14" s="19" t="str"/>
      <x:c r="N14" s="19" t="str">
        <x:v>待测</x:v>
      </x:c>
    </x:row>
    <x:row r="15" ht="67" customHeight="1">
      <x:c r="A15" s="9" t="str">
        <x:v>L10</x:v>
      </x:c>
      <x:c r="B15" s="9" t="str">
        <x:v>C12</x:v>
      </x:c>
      <x:c r="C15" s="9" t="str">
        <x:v>定期 Discovery</x:v>
      </x:c>
      <x:c r="D15" s="19" t="str">
        <x:v>MID 至网络设备</x:v>
      </x:c>
      <x:c r="E15" s="43"/>
      <x:c r="F15" s="43"/>
      <x:c r="G15" s="49"/>
      <x:c r="H15" s="50"/>
      <x:c r="I15" s="45"/>
      <x:c r="J15" s="45"/>
      <x:c r="K15" s="27" t="str">
        <x:f>IF(COUNT(I15:J15)&lt;&gt;2,"待测",IF(MIN(I15:J15)&lt;0,"需核对",SUM(I15:J15)/1000000))</x:f>
        <x:v>待测</x:v>
      </x:c>
      <x:c r="L15" s="27" t="str">
        <x:f>IF(AND(ISNUMBER(K15),ISNUMBER(G15),ISNUMBER(H15),COUNT(E15:F15)=2),IF(OR(G15&lt;=0,H15&lt;=0,F15&lt;=E15),"需核对",K15/G15/H15),"待测")</x:f>
        <x:v>待测</x:v>
      </x:c>
      <x:c r="M15" s="19" t="str"/>
      <x:c r="N15" s="19" t="str">
        <x:v>待测</x:v>
      </x:c>
    </x:row>
    <x:row r="16" ht="67" customHeight="1">
      <x:c r="A16" s="9" t="str">
        <x:v>L14</x:v>
      </x:c>
      <x:c r="B16" s="9" t="str">
        <x:v>C04/C05</x:v>
      </x:c>
      <x:c r="C16" s="9" t="str">
        <x:v>正常运行</x:v>
      </x:c>
      <x:c r="D16" s="19" t="str">
        <x:v>DNS（采用的解析路径）</x:v>
      </x:c>
      <x:c r="E16" s="43"/>
      <x:c r="F16" s="43"/>
      <x:c r="G16" s="49"/>
      <x:c r="H16" s="53" t="str">
        <x:f>IF(COUNT(E16:F16)&lt;&gt;2,"待测",IF(F16&lt;=E16,"需核对",F16-E16))</x:f>
        <x:v>待测</x:v>
      </x:c>
      <x:c r="I16" s="45"/>
      <x:c r="J16" s="45"/>
      <x:c r="K16" s="27" t="str">
        <x:f>IF(COUNT(I16:J16)&lt;&gt;2,"待测",IF(MIN(I16:J16)&lt;0,"需核对",SUM(I16:J16)/1000000))</x:f>
        <x:v>待测</x:v>
      </x:c>
      <x:c r="L16" s="27" t="str">
        <x:f>IF(AND(ISNUMBER(K16),ISNUMBER(G16),ISNUMBER(H16),COUNT(E16:F16)=2),IF(OR(G16&lt;=0,H16&lt;=0,F16&lt;=E16),"需核对",K16/G16/H16),"待测")</x:f>
        <x:v>待测</x:v>
      </x:c>
      <x:c r="M16" s="19" t="str"/>
      <x:c r="N16" s="19" t="str">
        <x:v>待测</x:v>
      </x:c>
    </x:row>
    <x:row r="17" ht="67" customHeight="1">
      <x:c r="A17" s="10" t="str">
        <x:v>L15</x:v>
      </x:c>
      <x:c r="B17" s="10" t="str">
        <x:v>C17</x:v>
      </x:c>
      <x:c r="C17" s="10" t="str">
        <x:v>定期扫描</x:v>
      </x:c>
      <x:c r="D17" s="20" t="str">
        <x:v>MID 至批准扫描范围</x:v>
      </x:c>
      <x:c r="E17" s="44"/>
      <x:c r="F17" s="44"/>
      <x:c r="G17" s="51"/>
      <x:c r="H17" s="52"/>
      <x:c r="I17" s="46"/>
      <x:c r="J17" s="46"/>
      <x:c r="K17" s="29" t="str">
        <x:f>IF(COUNT(I17:J17)&lt;&gt;2,"待测",IF(MIN(I17:J17)&lt;0,"需核对",SUM(I17:J17)/1000000))</x:f>
        <x:v>待测</x:v>
      </x:c>
      <x:c r="L17" s="29" t="str">
        <x:f>IF(AND(ISNUMBER(K17),ISNUMBER(G17),ISNUMBER(H17),COUNT(E17:F17)=2),IF(OR(G17&lt;=0,H17&lt;=0,F17&lt;=E17),"需核对",K17/G17/H17),"待测")</x:f>
        <x:v>待测</x:v>
      </x:c>
      <x:c r="M17" s="20" t="str"/>
      <x:c r="N17" s="20" t="str">
        <x:v>待测</x:v>
      </x:c>
    </x:row>
    <x:row r="18" ht="26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</x:row>
    <x:row r="19" ht="27" customHeight="1">
      <x:c r="A19" s="24" t="str">
        <x:v>我方日常流量测量与填表要点</x:v>
      </x:c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</x:row>
    <x:row r="20" ht="33" customHeight="1">
      <x:c r="A20" s="4" t="str">
        <x:v>1. Azure Portal 分别打开 ACC VM、MID VM 的 Monitoring / Metrics。固定稳定运行的同一绝对期间与时区，选择 Network In Total、Network Out Total，聚合 Sum / Total，保留原始 Bytes。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</x:row>
    <x:row r="21" ht="37" customHeight="1">
      <x:c r="A21" s="4" t="str">
        <x:v>2. 导出期间汇总或保存画面证据。所有 NIC 指标仅说明 VM 总量。已有可识别目标流的日志时，按 C13/C01 的 IP/端口、单侧和相同期间提取；不得声称 NIC 指标已自动过滤到 ACC。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</x:row>
    <x:row r="22" ht="35" customHeight="1">
      <x:c r="A22" s="4" t="str">
        <x:v>3. 选择有代表性的稳定日常运行期间，覆盖完整采集周期并记录普通调度/重试。只有未分离的背景通信时，保持“VM整体值”。扣减背景量需有另测证据，并明确为估计。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</x:row>
    <x:row r="23" ht="38" customHeight="1">
      <x:c r="A23" s="4" t="str">
        <x:v>4. I/J 是所选观测边界的期间收发合计。累计计数器先求结束减开始；重置/负差分重新测量。K=(I+J)/1,000,000；L=K÷G÷H。只测到一个方向时，另一个方向留空，不能猜成 0。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</x:row>
    <x:row r="24" ht="34" customHeight="1">
      <x:c r="A24" s="4" t="str">
        <x:v>5. 核对采集成功、重试、版本、周期、期间及证据后，N 选择“目标流已确认”。第三页按记录 ID 引用；没有目标流归属或证据，不生成正式环境概算。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</x:row>
    <x:row r="25" ht="26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</x:row>
    <x:row r="26" ht="27" customHeight="1">
      <x:c r="A26" s="24" t="str">
        <x:v>调查依据</x:v>
      </x:c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</x:row>
    <x:row r="27" ht="32" customHeight="1">
      <x:c r="A27" s="4" t="str">
        <x:v>原录音要求：向 Housing、Hosting、据点 LAN 通知测试内容、IP/端口、防火墙条件及通信量。本次后续确认将流量资料聚焦稳定日常运行及定期采集。</x:v>
      </x:c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</x:row>
    <x:row r="28" ht="26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</x:row>
    <x:row r="29" ht="38" customHeight="1">
      <x:c r="A29" s="4" t="str">
        <x:v>S6 官方指标入口：https://learn.microsoft.com/en-us/azure/virtual-machines/monitor-vm-reference。Network In/Out Total 为 VM 所有网卡的收发 Bytes，Total(Sum)。目标流归属及日常原单位换算为本资料的测量要求。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</x:row>
    <x:row r="30" ht="26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</x:row>
    <x:row r="31" ht="26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</x:row>
    <x:row r="32" ht="26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</x:row>
  </x:sheetData>
  <x:mergeCells>
    <x:mergeCell ref="A2:N2"/>
    <x:mergeCell ref="A3:N3"/>
    <x:mergeCell ref="A4:N4"/>
    <x:mergeCell ref="A5:N5"/>
    <x:mergeCell ref="A6:N6"/>
    <x:mergeCell ref="A7:N7"/>
    <x:mergeCell ref="A19:N19"/>
    <x:mergeCell ref="A20:N20"/>
    <x:mergeCell ref="A21:N21"/>
    <x:mergeCell ref="A22:N22"/>
    <x:mergeCell ref="A23:N23"/>
    <x:mergeCell ref="A24:N24"/>
    <x:mergeCell ref="A26:N26"/>
    <x:mergeCell ref="A27:N27"/>
    <x:mergeCell ref="A29:N29"/>
  </x:mergeCells>
  <x:dataValidations count="1">
    <x:dataValidation type="list" sqref="N11:N17">
      <x:formula1>"待测,目标流已确认,VM整体值,不采用"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aaca7043524c04"/>
  </x:tableParts>
</x:worksheet>
</file>