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14b9a1fd2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事项概览" sheetId="1" r:id="R9d63f8b368c14374"/>
    <x:sheet xmlns:r="http://schemas.openxmlformats.org/officeDocument/2006/relationships" name="02_环境确认" sheetId="2" r:id="Rdc4f1207a4604ed7"/>
    <x:sheet xmlns:r="http://schemas.openxmlformats.org/officeDocument/2006/relationships" name="03_通信要求" sheetId="3" r:id="R5f5481a71ccc4d58"/>
    <x:sheet xmlns:r="http://schemas.openxmlformats.org/officeDocument/2006/relationships" name="04_流量确认" sheetId="4" r:id="R3737ca1b9e044165"/>
    <x:sheet xmlns:r="http://schemas.openxmlformats.org/officeDocument/2006/relationships" name="05_流量记录" sheetId="5" r:id="Recf32fce413d4761"/>
    <x:sheet xmlns:r="http://schemas.openxmlformats.org/officeDocument/2006/relationships" name="06_使用说明" sheetId="6" r:id="Rde8fe009a2f2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/mm/dd hh:mm"/>
    <x:numFmt numFmtId="202" formatCode="0.000"/>
    <x:numFmt numFmtId="203" formatCode="#,##0.00"/>
  </x:numFmts>
  <x:fonts count="23">
    <x:font>
      <x:sz val="11"/>
      <x:name val="Carlito"/>
    </x:font>
    <x:font>
      <x:sz val="11"/>
      <x:color rgb="FF24363D"/>
      <x:name val="Yu Gothic"/>
    </x:font>
    <x:font>
      <x:b/>
      <x:sz val="18"/>
      <x:color rgb="FF24363D"/>
      <x:name val="Yu Gothic"/>
    </x:font>
    <x:font>
      <x:sz val="10"/>
      <x:color rgb="FF24363D"/>
      <x:name val="Yu Gothic"/>
    </x:font>
    <x:font>
      <x:sz val="12"/>
      <x:color rgb="FF24363D"/>
      <x:name val="Yu Gothic"/>
    </x:font>
    <x:font>
      <x:b/>
      <x:sz val="12"/>
      <x:color rgb="FF24363D"/>
      <x:name val="Yu Gothic"/>
    </x:font>
    <x:font>
      <x:sz val="11"/>
      <x:color rgb="FF24363D"/>
      <x:name val="Yu Gothic"/>
    </x:font>
    <x:font>
      <x:b/>
      <x:sz val="11"/>
      <x:color rgb="FFFFFFFF"/>
      <x:name val="Yu Gothic"/>
    </x:font>
    <x:font>
      <x:sz val="10"/>
      <x:color rgb="FF176389"/>
      <x:name val="Yu Gothic"/>
    </x:font>
    <x:font>
      <x:sz val="10"/>
      <x:color rgb="FF176389"/>
      <x:name val="Yu Gothic"/>
    </x:font>
    <x:font>
      <x:sz val="10"/>
      <x:color rgb="FF24363D"/>
      <x:name val="Yu Gothic"/>
    </x:font>
    <x:font>
      <x:sz val="11"/>
      <x:color rgb="FF222222"/>
      <x:name val="Yu Gothic"/>
    </x:font>
    <x:font>
      <x:b/>
      <x:sz val="18"/>
      <x:color rgb="FF222222"/>
      <x:name val="Yu Gothic"/>
    </x:font>
    <x:font>
      <x:sz val="10"/>
      <x:color rgb="FF222222"/>
      <x:name val="Yu Gothic"/>
    </x:font>
    <x:font>
      <x:b/>
      <x:sz val="12"/>
      <x:color rgb="FF222222"/>
      <x:name val="Yu Gothic"/>
    </x:font>
    <x:font>
      <x:b/>
      <x:sz val="11"/>
      <x:color rgb="FF222222"/>
      <x:name val="Yu Gothic"/>
    </x:font>
    <x:font>
      <x:sz val="11"/>
      <x:color rgb="FF222222"/>
      <x:name val="Microsoft YaHei"/>
    </x:font>
    <x:font>
      <x:b/>
      <x:sz val="18"/>
      <x:color rgb="FF222222"/>
      <x:name val="Microsoft YaHei"/>
    </x:font>
    <x:font>
      <x:sz val="10"/>
      <x:color rgb="FF222222"/>
      <x:name val="Microsoft YaHei"/>
    </x:font>
    <x:font>
      <x:b/>
      <x:sz val="12"/>
      <x:color rgb="FF222222"/>
      <x:name val="Microsoft YaHei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1"/>
      <x:color rgb="FF222222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F3F7F8"/>
      </x:patternFill>
    </x:fill>
    <x:fill>
      <x:patternFill patternType="solid">
        <x:fgColor rgb="FF185362"/>
      </x:patternFill>
    </x:fill>
    <x:fill>
      <x:patternFill patternType="solid">
        <x:fgColor rgb="FFFFF4D4"/>
      </x:patternFill>
    </x:fill>
    <x:fill>
      <x:patternFill patternType="solid">
        <x:fgColor rgb="FFFFFFFF"/>
      </x:patternFill>
    </x:fill>
    <x:fill>
      <x:patternFill patternType="solid">
        <x:fgColor rgb="FFE5F1E8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EEEEEE"/>
      </x:patternFill>
    </x:fill>
    <x:fill>
      <x:patternFill patternType="solid">
        <x:fgColor rgb="FF444444"/>
      </x:patternFill>
    </x:fill>
    <x:fill>
      <x:patternFill patternType="solid">
        <x:fgColor rgb="FFDDDDDD"/>
      </x:patternFill>
    </x:fill>
    <x:fill>
      <x:patternFill patternType="solid">
        <x:fgColor rgb="FFF5F5F5"/>
      </x:patternFill>
    </x:fill>
    <x:fill>
      <x:patternFill patternType="solid">
        <x:fgColor rgb="FF444444"/>
      </x:patternFill>
    </x:fill>
    <x:fill>
      <x:patternFill patternType="solid">
        <x:fgColor rgb="FFEFEFEF"/>
      </x:patternFill>
    </x:fill>
    <x:fill>
      <x:patternFill patternType="solid">
        <x:fgColor rgb="FFDDDDDD"/>
      </x:patternFill>
    </x:fill>
  </x:fills>
  <x:borders count="33">
    <x:border/>
    <x:border>
      <x:bottom style="thin">
        <x:color rgb="FFD7E2E5"/>
      </x:bottom>
    </x:border>
    <x:border>
      <x:top style="thin">
        <x:color rgb="FFD7E2E5"/>
      </x:top>
      <x:bottom style="thin">
        <x:color rgb="FFD7E2E5"/>
      </x:bottom>
    </x:border>
    <x:border>
      <x:top style="thin">
        <x:color rgb="FFD7E2E5"/>
      </x:top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none"/>
      <x:bottom style="thin">
        <x:color rgb="FFD7E2E5"/>
      </x:bottom>
    </x:border>
    <x:border diagonalUp="0" diagonalDown="0">
      <x:bottom style="thin">
        <x:color rgb="FFD7E2E5"/>
      </x:bottom>
    </x:border>
    <x:border diagonalUp="0" diagonalDown="0">
      <x:right style="none"/>
      <x:bottom style="thin">
        <x:color rgb="FFD7E2E5"/>
      </x:bottom>
    </x:border>
    <x:border diagonalUp="0" diagonalDown="0">
      <x:left style="none"/>
      <x:top style="thin">
        <x:color rgb="FFD7E2E5"/>
      </x:top>
      <x:bottom style="thin">
        <x:color rgb="FFD7E2E5"/>
      </x:bottom>
    </x:border>
    <x:border diagonalUp="0" diagonalDown="0">
      <x:top style="thin">
        <x:color rgb="FFD7E2E5"/>
      </x:top>
      <x:bottom style="thin">
        <x:color rgb="FFD7E2E5"/>
      </x:bottom>
    </x:border>
    <x:border diagonalUp="0" diagonalDown="0">
      <x:right style="none"/>
      <x:top style="thin">
        <x:color rgb="FFD7E2E5"/>
      </x:top>
      <x:bottom style="thin">
        <x:color rgb="FFD7E2E5"/>
      </x:bottom>
    </x:border>
    <x:border diagonalUp="0" diagonalDown="0">
      <x:left style="none"/>
      <x:top style="thin">
        <x:color rgb="FFD7E2E5"/>
      </x:top>
    </x:border>
    <x:border diagonalUp="0" diagonalDown="0">
      <x:top style="thin">
        <x:color rgb="FFD7E2E5"/>
      </x:top>
    </x:border>
    <x:border diagonalUp="0" diagonalDown="0">
      <x:right style="none"/>
      <x:top style="thin">
        <x:color rgb="FFD7E2E5"/>
      </x:top>
    </x:border>
    <x:border diagonalUp="0" diagonalDown="0">
      <x:left style="none"/>
      <x:bottom style="thin">
        <x:color rgb="FFCCCCCC"/>
      </x:bottom>
    </x:border>
    <x:border diagonalUp="0" diagonalDown="0">
      <x:bottom style="thin">
        <x:color rgb="FFCCCCCC"/>
      </x:bottom>
    </x:border>
    <x:border diagonalUp="0" diagonalDown="0">
      <x:right style="none"/>
      <x:bottom style="thin">
        <x:color rgb="FFCCCCCC"/>
      </x:bottom>
    </x:border>
    <x:border diagonalUp="0" diagonalDown="0">
      <x:left style="none"/>
      <x:top style="thin">
        <x:color rgb="FFCCCCCC"/>
      </x:top>
      <x:bottom style="thin">
        <x:color rgb="FFCCCCCC"/>
      </x:bottom>
    </x:border>
    <x:border diagonalUp="0" diagonalDown="0">
      <x:top style="thin">
        <x:color rgb="FFCCCCCC"/>
      </x:top>
      <x:bottom style="thin">
        <x:color rgb="FFCCCCCC"/>
      </x:bottom>
    </x:border>
    <x:border diagonalUp="0" diagonalDown="0">
      <x:right style="none"/>
      <x:top style="thin">
        <x:color rgb="FFCCCCCC"/>
      </x:top>
      <x:bottom style="thin">
        <x:color rgb="FFCCCCCC"/>
      </x:bottom>
    </x:border>
    <x:border diagonalUp="0" diagonalDown="0">
      <x:left style="none"/>
      <x:bottom style="thin">
        <x:color rgb="FFD9D9D9"/>
      </x:bottom>
    </x:border>
    <x:border diagonalUp="0" diagonalDown="0">
      <x:bottom style="thin">
        <x:color rgb="FFD9D9D9"/>
      </x:bottom>
    </x:border>
    <x:border diagonalUp="0" diagonalDown="0">
      <x:right style="none"/>
      <x:bottom style="thin">
        <x:color rgb="FFD9D9D9"/>
      </x:bottom>
    </x:border>
    <x:border diagonalUp="0" diagonalDown="0">
      <x:left style="none"/>
      <x:top style="thin">
        <x:color rgb="FFD9D9D9"/>
      </x:top>
      <x:bottom style="thin">
        <x:color rgb="FFD9D9D9"/>
      </x:bottom>
    </x:border>
    <x:border diagonalUp="0" diagonalDown="0">
      <x:top style="thin">
        <x:color rgb="FFD9D9D9"/>
      </x:top>
      <x:bottom style="thin">
        <x:color rgb="FFD9D9D9"/>
      </x:bottom>
    </x:border>
    <x:border diagonalUp="0" diagonalDown="0">
      <x:right style="none"/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2" borderId="2" xfId="0" applyNumberFormat="1" applyFont="1" applyFill="1" applyBorder="1" applyAlignment="1">
      <x:alignment vertical="center"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4" borderId="3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4" borderId="3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6" borderId="2" xfId="0" applyNumberFormat="1" applyFont="1" applyFill="1" applyBorder="1" applyAlignment="1">
      <x:alignment vertical="center" wrapText="1"/>
    </x:xf>
    <x:xf numFmtId="202" fontId="1" fillId="6" borderId="3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11" fillId="7" borderId="4" xfId="0" applyNumberFormat="1" applyFont="1" applyFill="1" applyBorder="1" applyAlignment="1">
      <x:alignment vertical="center" wrapText="1"/>
    </x:xf>
    <x:xf numFmtId="0" fontId="11" fillId="7" borderId="5" xfId="0" applyNumberFormat="1" applyFont="1" applyFill="1" applyBorder="1" applyAlignment="1">
      <x:alignment vertical="center" wrapText="1"/>
    </x:xf>
    <x:xf numFmtId="0" fontId="11" fillId="7" borderId="6" xfId="0" applyNumberFormat="1" applyFont="1" applyFill="1" applyBorder="1" applyAlignment="1">
      <x:alignment vertical="center" wrapText="1"/>
    </x:xf>
    <x:xf numFmtId="0" fontId="12" fillId="7" borderId="7" xfId="0" applyNumberFormat="1" applyFont="1" applyFill="1" applyBorder="1" applyAlignment="1">
      <x:alignment vertical="center" wrapText="1"/>
    </x:xf>
    <x:xf numFmtId="0" fontId="12" fillId="7" xfId="0" applyNumberFormat="1" applyFont="1" applyFill="1" applyBorder="0" applyAlignment="1">
      <x:alignment vertical="center" wrapText="1"/>
    </x:xf>
    <x:xf numFmtId="0" fontId="12" fillId="7" borderId="8" xfId="0" applyNumberFormat="1" applyFont="1" applyFill="1" applyBorder="1" applyAlignment="1">
      <x:alignment vertical="center" wrapText="1"/>
    </x:xf>
    <x:xf numFmtId="0" fontId="13" fillId="7" borderId="7" xfId="0" applyNumberFormat="1" applyFont="1" applyFill="1" applyBorder="1" applyAlignment="1">
      <x:alignment vertical="center" wrapText="1"/>
    </x:xf>
    <x:xf numFmtId="0" fontId="13" fillId="7" xfId="0" applyNumberFormat="1" applyFont="1" applyFill="1" applyBorder="0" applyAlignment="1">
      <x:alignment vertical="center" wrapText="1"/>
    </x:xf>
    <x:xf numFmtId="0" fontId="13" fillId="7" borderId="8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vertical="center" wrapText="1"/>
    </x:xf>
    <x:xf numFmtId="0" fontId="11" fillId="7" xfId="0" applyNumberFormat="1" applyFont="1" applyFill="1" applyBorder="0" applyAlignment="1">
      <x:alignment vertical="center" wrapText="1"/>
    </x:xf>
    <x:xf numFmtId="0" fontId="11" fillId="7" borderId="8" xfId="0" applyNumberFormat="1" applyFont="1" applyFill="1" applyBorder="1" applyAlignment="1">
      <x:alignment vertical="center" wrapText="1"/>
    </x:xf>
    <x:xf numFmtId="0" fontId="14" fillId="7" borderId="7" xfId="0" applyNumberFormat="1" applyFont="1" applyFill="1" applyBorder="1" applyAlignment="1">
      <x:alignment vertical="center" wrapText="1"/>
    </x:xf>
    <x:xf numFmtId="0" fontId="14" fillId="7" xfId="0" applyNumberFormat="1" applyFont="1" applyFill="1" applyBorder="0" applyAlignment="1">
      <x:alignment vertical="center" wrapText="1"/>
    </x:xf>
    <x:xf numFmtId="0" fontId="14" fillId="7" borderId="8" xfId="0" applyNumberFormat="1" applyFont="1" applyFill="1" applyBorder="1" applyAlignment="1">
      <x:alignment vertical="center" wrapText="1"/>
    </x:xf>
    <x:xf numFmtId="0" fontId="15" fillId="7" borderId="7" xfId="0" applyNumberFormat="1" applyFont="1" applyFill="1" applyBorder="1" applyAlignment="1">
      <x:alignment vertical="center" wrapText="1"/>
    </x:xf>
    <x:xf numFmtId="0" fontId="15" fillId="7" xfId="0" applyNumberFormat="1" applyFont="1" applyFill="1" applyBorder="0" applyAlignment="1">
      <x:alignment vertical="center" wrapText="1"/>
    </x:xf>
    <x:xf numFmtId="0" fontId="15" fillId="7" borderId="8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11" fillId="7" borderId="10" xfId="0" applyNumberFormat="1" applyFont="1" applyFill="1" applyBorder="1" applyAlignment="1">
      <x:alignment vertical="center" wrapText="1"/>
    </x:xf>
    <x:xf numFmtId="0" fontId="11" fillId="7" borderId="11" xfId="0" applyNumberFormat="1" applyFont="1" applyFill="1" applyBorder="1" applyAlignment="1">
      <x:alignment vertical="center" wrapText="1"/>
    </x:xf>
    <x:xf numFmtId="0" fontId="14" fillId="8" borderId="7" xfId="0" applyNumberFormat="1" applyFont="1" applyFill="1" applyBorder="1" applyAlignment="1">
      <x:alignment vertical="center" wrapText="1"/>
    </x:xf>
    <x:xf numFmtId="0" fontId="14" fillId="8" xfId="0" applyNumberFormat="1" applyFont="1" applyFill="1" applyBorder="0" applyAlignment="1">
      <x:alignment vertical="center" wrapText="1"/>
    </x:xf>
    <x:xf numFmtId="0" fontId="14" fillId="8" borderId="8" xfId="0" applyNumberFormat="1" applyFont="1" applyFill="1" applyBorder="1" applyAlignment="1">
      <x:alignment vertical="center" wrapText="1"/>
    </x:xf>
    <x:xf numFmtId="0" fontId="11" fillId="8" borderId="7" xfId="0" applyNumberFormat="1" applyFont="1" applyFill="1" applyBorder="1" applyAlignment="1">
      <x:alignment vertical="center" wrapText="1"/>
    </x:xf>
    <x:xf numFmtId="0" fontId="11" fillId="8" xfId="0" applyNumberFormat="1" applyFont="1" applyFill="1" applyBorder="0" applyAlignment="1">
      <x:alignment vertical="center" wrapText="1"/>
    </x:xf>
    <x:xf numFmtId="0" fontId="11" fillId="8" borderId="8" xfId="0" applyNumberFormat="1" applyFont="1" applyFill="1" applyBorder="1" applyAlignment="1">
      <x:alignment vertical="center" wrapText="1"/>
    </x:xf>
    <x:xf numFmtId="0" fontId="11" fillId="9" borderId="7" xfId="0" applyNumberFormat="1" applyFont="1" applyFill="1" applyBorder="1" applyAlignment="1">
      <x:alignment vertical="center" wrapText="1"/>
    </x:xf>
    <x:xf numFmtId="0" fontId="11" fillId="9" xfId="0" applyNumberFormat="1" applyFont="1" applyFill="1" applyBorder="0" applyAlignment="1">
      <x:alignment vertical="center" wrapText="1"/>
    </x:xf>
    <x:xf numFmtId="0" fontId="11" fillId="9" borderId="8" xfId="0" applyNumberFormat="1" applyFont="1" applyFill="1" applyBorder="1" applyAlignment="1">
      <x:alignment vertical="center" wrapText="1"/>
    </x:xf>
    <x:xf numFmtId="0" fontId="15" fillId="10" borderId="7" xfId="0" applyNumberFormat="1" applyFont="1" applyFill="1" applyBorder="1" applyAlignment="1">
      <x:alignment vertical="center" wrapText="1"/>
    </x:xf>
    <x:xf numFmtId="0" fontId="15" fillId="10" xfId="0" applyNumberFormat="1" applyFont="1" applyFill="1" applyBorder="0" applyAlignment="1">
      <x:alignment vertical="center" wrapText="1"/>
    </x:xf>
    <x:xf numFmtId="0" fontId="15" fillId="10" borderId="8" xfId="0" applyNumberFormat="1" applyFont="1" applyFill="1" applyBorder="1" applyAlignment="1">
      <x:alignment vertical="center" wrapText="1"/>
    </x:xf>
    <x:xf numFmtId="0" fontId="7" fillId="10" borderId="7" xfId="0" applyNumberFormat="1" applyFont="1" applyFill="1" applyBorder="1" applyAlignment="1">
      <x:alignment vertical="center" wrapText="1"/>
    </x:xf>
    <x:xf numFmtId="0" fontId="7" fillId="10" xfId="0" applyNumberFormat="1" applyFont="1" applyFill="1" applyBorder="0" applyAlignment="1">
      <x:alignment vertical="center" wrapText="1"/>
    </x:xf>
    <x:xf numFmtId="0" fontId="7" fillId="10" borderId="8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0" fontId="11" fillId="7" borderId="2" xfId="0" applyNumberFormat="1" applyFont="1" applyFill="1" applyBorder="1" applyAlignment="1">
      <x:alignment vertical="center" wrapText="1"/>
    </x:xf>
    <x:xf numFmtId="0" fontId="11" fillId="7" borderId="3" xfId="0" applyNumberFormat="1" applyFont="1" applyFill="1" applyBorder="1" applyAlignment="1">
      <x:alignment vertical="center" wrapText="1"/>
    </x:xf>
    <x:xf numFmtId="0" fontId="11" fillId="7" borderId="12" xfId="0" applyNumberFormat="1" applyFont="1" applyFill="1" applyBorder="1" applyAlignment="1">
      <x:alignment vertical="center" wrapText="1"/>
    </x:xf>
    <x:xf numFmtId="0" fontId="11" fillId="7" borderId="13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vertical="center" wrapText="1"/>
    </x:xf>
    <x:xf numFmtId="0" fontId="11" fillId="7" borderId="15" xfId="0" applyNumberFormat="1" applyFont="1" applyFill="1" applyBorder="1" applyAlignment="1">
      <x:alignment vertical="center" wrapText="1"/>
    </x:xf>
    <x:xf numFmtId="0" fontId="11" fillId="7" borderId="16" xfId="0" applyNumberFormat="1" applyFont="1" applyFill="1" applyBorder="1" applyAlignment="1">
      <x:alignment vertical="center" wrapText="1"/>
    </x:xf>
    <x:xf numFmtId="0" fontId="11" fillId="7" borderId="17" xfId="0" applyNumberFormat="1" applyFont="1" applyFill="1" applyBorder="1" applyAlignment="1">
      <x:alignment vertical="center" wrapText="1"/>
    </x:xf>
    <x:xf numFmtId="0" fontId="11" fillId="7" borderId="18" xfId="0" applyNumberFormat="1" applyFont="1" applyFill="1" applyBorder="1" applyAlignment="1">
      <x:alignment vertical="center" wrapText="1"/>
    </x:xf>
    <x:xf numFmtId="0" fontId="11" fillId="7" borderId="19" xfId="0" applyNumberFormat="1" applyFont="1" applyFill="1" applyBorder="1" applyAlignment="1">
      <x:alignment vertical="center" wrapText="1"/>
    </x:xf>
    <x:xf numFmtId="0" fontId="11" fillId="7" borderId="20" xfId="0" applyNumberFormat="1" applyFont="1" applyFill="1" applyBorder="1" applyAlignment="1">
      <x:alignment vertical="center" wrapText="1"/>
    </x:xf>
    <x:xf numFmtId="0" fontId="11" fillId="7" borderId="21" xfId="0" applyNumberFormat="1" applyFont="1" applyFill="1" applyBorder="1" applyAlignment="1">
      <x:alignment vertical="center" wrapText="1"/>
    </x:xf>
    <x:xf numFmtId="0" fontId="11" fillId="7" borderId="22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vertical="center" wrapText="1"/>
    </x:xf>
    <x:xf numFmtId="0" fontId="11" fillId="7" borderId="24" xfId="0" applyNumberFormat="1" applyFont="1" applyFill="1" applyBorder="1" applyAlignment="1">
      <x:alignment vertical="center" wrapText="1"/>
    </x:xf>
    <x:xf numFmtId="0" fontId="11" fillId="7" borderId="25" xfId="0" applyNumberFormat="1" applyFont="1" applyFill="1" applyBorder="1" applyAlignment="1">
      <x:alignment vertical="center" wrapText="1"/>
    </x:xf>
    <x:xf numFmtId="0" fontId="11" fillId="7" borderId="26" xfId="0" applyNumberFormat="1" applyFont="1" applyFill="1" applyBorder="1" applyAlignment="1">
      <x:alignment vertical="center" wrapText="1"/>
    </x:xf>
    <x:xf numFmtId="0" fontId="11" fillId="9" borderId="22" xfId="0" applyNumberFormat="1" applyFont="1" applyFill="1" applyBorder="1" applyAlignment="1">
      <x:alignment vertical="center" wrapText="1"/>
    </x:xf>
    <x:xf numFmtId="0" fontId="11" fillId="9" borderId="25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0" fontId="13" fillId="7" borderId="1" xfId="0" applyNumberFormat="1" applyFont="1" applyFill="1" applyBorder="1" applyAlignment="1">
      <x:alignment vertical="center" wrapText="1"/>
    </x:xf>
    <x:xf numFmtId="0" fontId="13" fillId="7" borderId="2" xfId="0" applyNumberFormat="1" applyFont="1" applyFill="1" applyBorder="1" applyAlignment="1">
      <x:alignment vertical="center" wrapText="1"/>
    </x:xf>
    <x:xf numFmtId="0" fontId="13" fillId="7" borderId="14" xfId="0" applyNumberFormat="1" applyFont="1" applyFill="1" applyBorder="1" applyAlignment="1">
      <x:alignment vertical="center" wrapText="1"/>
    </x:xf>
    <x:xf numFmtId="0" fontId="13" fillId="7" borderId="17" xfId="0" applyNumberFormat="1" applyFont="1" applyFill="1" applyBorder="1" applyAlignment="1">
      <x:alignment vertical="center" wrapText="1"/>
    </x:xf>
    <x:xf numFmtId="0" fontId="13" fillId="7" borderId="23" xfId="0" applyNumberFormat="1" applyFont="1" applyFill="1" applyBorder="1" applyAlignment="1">
      <x:alignment vertical="center" wrapText="1"/>
    </x:xf>
    <x:xf numFmtId="0" fontId="13" fillId="7" borderId="26" xfId="0" applyNumberFormat="1" applyFont="1" applyFill="1" applyBorder="1" applyAlignment="1">
      <x:alignment vertical="center" wrapText="1"/>
    </x:xf>
    <x:xf numFmtId="200" fontId="3" fillId="7" borderId="0" xfId="0" applyNumberFormat="1" applyFont="1" applyFill="1" applyBorder="1" applyAlignment="1">
      <x:alignment horizontal="center"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1" fontId="1" fillId="7" borderId="1" xfId="0" applyNumberFormat="1" applyFont="1" applyFill="1" applyBorder="1" applyAlignment="1">
      <x:alignment vertical="center" wrapText="1"/>
    </x:xf>
    <x:xf numFmtId="200" fontId="1" fillId="7" borderId="1" xfId="0" applyNumberFormat="1" applyFont="1" applyFill="1" applyBorder="1" applyAlignment="1">
      <x:alignment vertical="center" wrapText="1"/>
    </x:xf>
    <x:xf numFmtId="202" fontId="1" fillId="7" borderId="1" xfId="0" applyNumberFormat="1" applyFont="1" applyFill="1" applyBorder="1" applyAlignment="1">
      <x:alignment vertical="center" wrapText="1"/>
    </x:xf>
    <x:xf numFmtId="201" fontId="1" fillId="7" borderId="2" xfId="0" applyNumberFormat="1" applyFont="1" applyFill="1" applyBorder="1" applyAlignment="1">
      <x:alignment vertical="center" wrapText="1"/>
    </x:xf>
    <x:xf numFmtId="200" fontId="1" fillId="7" borderId="2" xfId="0" applyNumberFormat="1" applyFont="1" applyFill="1" applyBorder="1" applyAlignment="1">
      <x:alignment vertical="center" wrapText="1"/>
    </x:xf>
    <x:xf numFmtId="202" fontId="1" fillId="7" borderId="2" xfId="0" applyNumberFormat="1" applyFont="1" applyFill="1" applyBorder="1" applyAlignment="1">
      <x:alignment vertical="center" wrapText="1"/>
    </x:xf>
    <x:xf numFmtId="201" fontId="1" fillId="7" borderId="3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202" fontId="1" fillId="7" borderId="3" xfId="0" applyNumberFormat="1" applyFont="1" applyFill="1" applyBorder="1" applyAlignment="1">
      <x:alignment vertical="center" wrapText="1"/>
    </x:xf>
    <x:xf numFmtId="200" fontId="13" fillId="7" borderId="0" xfId="0" applyNumberFormat="1" applyFont="1" applyFill="1" applyBorder="1" applyAlignment="1">
      <x:alignment horizontal="center" vertical="center" wrapText="1"/>
    </x:xf>
    <x:xf numFmtId="200" fontId="11" fillId="7" borderId="0" xfId="0" applyNumberFormat="1" applyFont="1" applyFill="1" applyBorder="1" applyAlignment="1">
      <x:alignment vertical="center" wrapText="1"/>
    </x:xf>
    <x:xf numFmtId="201" fontId="11" fillId="7" borderId="1" xfId="0" applyNumberFormat="1" applyFont="1" applyFill="1" applyBorder="1" applyAlignment="1">
      <x:alignment vertical="center" wrapText="1"/>
    </x:xf>
    <x:xf numFmtId="200" fontId="11" fillId="7" borderId="1" xfId="0" applyNumberFormat="1" applyFont="1" applyFill="1" applyBorder="1" applyAlignment="1">
      <x:alignment vertical="center" wrapText="1"/>
    </x:xf>
    <x:xf numFmtId="202" fontId="11" fillId="7" borderId="1" xfId="0" applyNumberFormat="1" applyFont="1" applyFill="1" applyBorder="1" applyAlignment="1">
      <x:alignment vertical="center" wrapText="1"/>
    </x:xf>
    <x:xf numFmtId="201" fontId="11" fillId="7" borderId="2" xfId="0" applyNumberFormat="1" applyFont="1" applyFill="1" applyBorder="1" applyAlignment="1">
      <x:alignment vertical="center" wrapText="1"/>
    </x:xf>
    <x:xf numFmtId="200" fontId="11" fillId="7" borderId="2" xfId="0" applyNumberFormat="1" applyFont="1" applyFill="1" applyBorder="1" applyAlignment="1">
      <x:alignment vertical="center" wrapText="1"/>
    </x:xf>
    <x:xf numFmtId="202" fontId="11" fillId="7" borderId="2" xfId="0" applyNumberFormat="1" applyFont="1" applyFill="1" applyBorder="1" applyAlignment="1">
      <x:alignment vertical="center" wrapText="1"/>
    </x:xf>
    <x:xf numFmtId="201" fontId="11" fillId="7" borderId="3" xfId="0" applyNumberFormat="1" applyFont="1" applyFill="1" applyBorder="1" applyAlignment="1">
      <x:alignment vertical="center" wrapText="1"/>
    </x:xf>
    <x:xf numFmtId="200" fontId="11" fillId="7" borderId="3" xfId="0" applyNumberFormat="1" applyFont="1" applyFill="1" applyBorder="1" applyAlignment="1">
      <x:alignment vertical="center" wrapText="1"/>
    </x:xf>
    <x:xf numFmtId="202" fontId="11" fillId="7" borderId="3" xfId="0" applyNumberFormat="1" applyFont="1" applyFill="1" applyBorder="1" applyAlignment="1">
      <x:alignment vertical="center" wrapText="1"/>
    </x:xf>
    <x:xf numFmtId="200" fontId="13" fillId="7" xfId="0" applyNumberFormat="1" applyFont="1" applyFill="1" applyBorder="0" applyAlignment="1">
      <x:alignment horizontal="center" vertical="center" wrapText="1"/>
    </x:xf>
    <x:xf numFmtId="200" fontId="11" fillId="7" xfId="0" applyNumberFormat="1" applyFont="1" applyFill="1" applyBorder="0" applyAlignment="1">
      <x:alignment vertical="center" wrapText="1"/>
    </x:xf>
    <x:xf numFmtId="201" fontId="11" fillId="7" borderId="13" xfId="0" applyNumberFormat="1" applyFont="1" applyFill="1" applyBorder="1" applyAlignment="1">
      <x:alignment vertical="center" wrapText="1"/>
    </x:xf>
    <x:xf numFmtId="200" fontId="11" fillId="7" borderId="13" xfId="0" applyNumberFormat="1" applyFont="1" applyFill="1" applyBorder="1" applyAlignment="1">
      <x:alignment vertical="center" wrapText="1"/>
    </x:xf>
    <x:xf numFmtId="202" fontId="11" fillId="7" borderId="13" xfId="0" applyNumberFormat="1" applyFont="1" applyFill="1" applyBorder="1" applyAlignment="1">
      <x:alignment vertical="center" wrapText="1"/>
    </x:xf>
    <x:xf numFmtId="201" fontId="11" fillId="7" borderId="16" xfId="0" applyNumberFormat="1" applyFont="1" applyFill="1" applyBorder="1" applyAlignment="1">
      <x:alignment vertical="center" wrapText="1"/>
    </x:xf>
    <x:xf numFmtId="200" fontId="11" fillId="7" borderId="16" xfId="0" applyNumberFormat="1" applyFont="1" applyFill="1" applyBorder="1" applyAlignment="1">
      <x:alignment vertical="center" wrapText="1"/>
    </x:xf>
    <x:xf numFmtId="202" fontId="11" fillId="7" borderId="16" xfId="0" applyNumberFormat="1" applyFont="1" applyFill="1" applyBorder="1" applyAlignment="1">
      <x:alignment vertical="center" wrapText="1"/>
    </x:xf>
    <x:xf numFmtId="201" fontId="11" fillId="7" borderId="19" xfId="0" applyNumberFormat="1" applyFont="1" applyFill="1" applyBorder="1" applyAlignment="1">
      <x:alignment vertical="center" wrapText="1"/>
    </x:xf>
    <x:xf numFmtId="200" fontId="11" fillId="7" borderId="19" xfId="0" applyNumberFormat="1" applyFont="1" applyFill="1" applyBorder="1" applyAlignment="1">
      <x:alignment vertical="center" wrapText="1"/>
    </x:xf>
    <x:xf numFmtId="202" fontId="11" fillId="7" borderId="19" xfId="0" applyNumberFormat="1" applyFont="1" applyFill="1" applyBorder="1" applyAlignment="1">
      <x:alignment vertical="center" wrapText="1"/>
    </x:xf>
    <x:xf numFmtId="201" fontId="11" fillId="7" borderId="22" xfId="0" applyNumberFormat="1" applyFont="1" applyFill="1" applyBorder="1" applyAlignment="1">
      <x:alignment vertical="center" wrapText="1"/>
    </x:xf>
    <x:xf numFmtId="200" fontId="11" fillId="7" borderId="22" xfId="0" applyNumberFormat="1" applyFont="1" applyFill="1" applyBorder="1" applyAlignment="1">
      <x:alignment vertical="center" wrapText="1"/>
    </x:xf>
    <x:xf numFmtId="202" fontId="11" fillId="7" borderId="22" xfId="0" applyNumberFormat="1" applyFont="1" applyFill="1" applyBorder="1" applyAlignment="1">
      <x:alignment vertical="center" wrapText="1"/>
    </x:xf>
    <x:xf numFmtId="201" fontId="11" fillId="7" borderId="25" xfId="0" applyNumberFormat="1" applyFont="1" applyFill="1" applyBorder="1" applyAlignment="1">
      <x:alignment vertical="center" wrapText="1"/>
    </x:xf>
    <x:xf numFmtId="200" fontId="11" fillId="7" borderId="25" xfId="0" applyNumberFormat="1" applyFont="1" applyFill="1" applyBorder="1" applyAlignment="1">
      <x:alignment vertical="center" wrapText="1"/>
    </x:xf>
    <x:xf numFmtId="202" fontId="11" fillId="7" borderId="25" xfId="0" applyNumberFormat="1" applyFont="1" applyFill="1" applyBorder="1" applyAlignment="1">
      <x:alignment vertical="center" wrapText="1"/>
    </x:xf>
    <x:xf numFmtId="0" fontId="13" fillId="8" xfId="0" applyNumberFormat="1" applyFont="1" applyFill="1" applyBorder="0" applyAlignment="1">
      <x:alignment vertical="center" wrapText="1"/>
    </x:xf>
    <x:xf numFmtId="0" fontId="13" fillId="8" borderId="8" xfId="0" applyNumberFormat="1" applyFont="1" applyFill="1" applyBorder="1" applyAlignment="1">
      <x:alignment vertical="center" wrapText="1"/>
    </x:xf>
    <x:xf numFmtId="201" fontId="11" fillId="9" borderId="22" xfId="0" applyNumberFormat="1" applyFont="1" applyFill="1" applyBorder="1" applyAlignment="1">
      <x:alignment vertical="center" wrapText="1"/>
    </x:xf>
    <x:xf numFmtId="200" fontId="11" fillId="9" borderId="22" xfId="0" applyNumberFormat="1" applyFont="1" applyFill="1" applyBorder="1" applyAlignment="1">
      <x:alignment vertical="center" wrapText="1"/>
    </x:xf>
    <x:xf numFmtId="201" fontId="11" fillId="9" borderId="25" xfId="0" applyNumberFormat="1" applyFont="1" applyFill="1" applyBorder="1" applyAlignment="1">
      <x:alignment vertical="center" wrapText="1"/>
    </x:xf>
    <x:xf numFmtId="200" fontId="11" fillId="9" borderId="25" xfId="0" applyNumberFormat="1" applyFont="1" applyFill="1" applyBorder="1" applyAlignment="1">
      <x:alignment vertical="center" wrapText="1"/>
    </x:xf>
    <x:xf numFmtId="0" fontId="11" fillId="9" borderId="23" xfId="0" applyNumberFormat="1" applyFont="1" applyFill="1" applyBorder="1" applyAlignment="1">
      <x:alignment vertical="center" wrapText="1"/>
    </x:xf>
    <x:xf numFmtId="0" fontId="11" fillId="9" borderId="26" xfId="0" applyNumberFormat="1" applyFont="1" applyFill="1" applyBorder="1" applyAlignment="1">
      <x:alignment vertical="center" wrapText="1"/>
    </x:xf>
    <x:xf numFmtId="202" fontId="11" fillId="11" borderId="22" xfId="0" applyNumberFormat="1" applyFont="1" applyFill="1" applyBorder="1" applyAlignment="1">
      <x:alignment vertical="center" wrapText="1"/>
    </x:xf>
    <x:xf numFmtId="202" fontId="11" fillId="11" borderId="25" xfId="0" applyNumberFormat="1" applyFont="1" applyFill="1" applyBorder="1" applyAlignment="1">
      <x:alignment vertical="center" wrapText="1"/>
    </x:xf>
    <x:xf numFmtId="0" fontId="16" fillId="5" borderId="4" xfId="0" applyNumberFormat="1" applyFont="1" applyFill="1" applyBorder="1" applyAlignment="1">
      <x:alignment vertical="center" wrapText="1"/>
    </x:xf>
    <x:xf numFmtId="0" fontId="16" fillId="5" borderId="5" xfId="0" applyNumberFormat="1" applyFont="1" applyFill="1" applyBorder="1" applyAlignment="1">
      <x:alignment vertical="center" wrapText="1"/>
    </x:xf>
    <x:xf numFmtId="0" fontId="16" fillId="5" borderId="6" xfId="0" applyNumberFormat="1" applyFont="1" applyFill="1" applyBorder="1" applyAlignment="1">
      <x:alignment vertical="center" wrapText="1"/>
    </x:xf>
    <x:xf numFmtId="0" fontId="17" fillId="5" borderId="7" xfId="0" applyNumberFormat="1" applyFont="1" applyFill="1" applyBorder="1" applyAlignment="1">
      <x:alignment vertical="center" wrapText="1"/>
    </x:xf>
    <x:xf numFmtId="0" fontId="17" fillId="5" xfId="0" applyNumberFormat="1" applyFont="1" applyFill="1" applyBorder="0" applyAlignment="1">
      <x:alignment vertical="center" wrapText="1"/>
    </x:xf>
    <x:xf numFmtId="0" fontId="17" fillId="5" borderId="8" xfId="0" applyNumberFormat="1" applyFont="1" applyFill="1" applyBorder="1" applyAlignment="1">
      <x:alignment vertical="center" wrapText="1"/>
    </x:xf>
    <x:xf numFmtId="0" fontId="18" fillId="5" borderId="7" xfId="0" applyNumberFormat="1" applyFont="1" applyFill="1" applyBorder="1" applyAlignment="1">
      <x:alignment vertical="center" wrapText="1"/>
    </x:xf>
    <x:xf numFmtId="0" fontId="18" fillId="5" xfId="0" applyNumberFormat="1" applyFont="1" applyFill="1" applyBorder="0" applyAlignment="1">
      <x:alignment vertical="center" wrapText="1"/>
    </x:xf>
    <x:xf numFmtId="0" fontId="18" fillId="5" borderId="8" xfId="0" applyNumberFormat="1" applyFont="1" applyFill="1" applyBorder="1" applyAlignment="1">
      <x:alignment vertical="center" wrapText="1"/>
    </x:xf>
    <x:xf numFmtId="0" fontId="16" fillId="5" borderId="7" xfId="0" applyNumberFormat="1" applyFont="1" applyFill="1" applyBorder="1" applyAlignment="1">
      <x:alignment vertical="center" wrapText="1"/>
    </x:xf>
    <x:xf numFmtId="0" fontId="16" fillId="5" xfId="0" applyNumberFormat="1" applyFont="1" applyFill="1" applyBorder="0" applyAlignment="1">
      <x:alignment vertical="center" wrapText="1"/>
    </x:xf>
    <x:xf numFmtId="0" fontId="16" fillId="5" borderId="8" xfId="0" applyNumberFormat="1" applyFont="1" applyFill="1" applyBorder="1" applyAlignment="1">
      <x:alignment vertical="center" wrapText="1"/>
    </x:xf>
    <x:xf numFmtId="0" fontId="19" fillId="8" borderId="7" xfId="0" applyNumberFormat="1" applyFont="1" applyFill="1" applyBorder="1" applyAlignment="1">
      <x:alignment vertical="center" wrapText="1"/>
    </x:xf>
    <x:xf numFmtId="0" fontId="19" fillId="8" xfId="0" applyNumberFormat="1" applyFont="1" applyFill="1" applyBorder="0" applyAlignment="1">
      <x:alignment vertical="center" wrapText="1"/>
    </x:xf>
    <x:xf numFmtId="0" fontId="19" fillId="8" borderId="8" xfId="0" applyNumberFormat="1" applyFont="1" applyFill="1" applyBorder="1" applyAlignment="1">
      <x:alignment vertical="center" wrapText="1"/>
    </x:xf>
    <x:xf numFmtId="0" fontId="20" fillId="10" borderId="7" xfId="0" applyNumberFormat="1" applyFont="1" applyFill="1" applyBorder="1" applyAlignment="1">
      <x:alignment vertical="center" wrapText="1"/>
    </x:xf>
    <x:xf numFmtId="0" fontId="20" fillId="10" xfId="0" applyNumberFormat="1" applyFont="1" applyFill="1" applyBorder="0" applyAlignment="1">
      <x:alignment vertical="center" wrapText="1"/>
    </x:xf>
    <x:xf numFmtId="0" fontId="20" fillId="10" borderId="8" xfId="0" applyNumberFormat="1" applyFont="1" applyFill="1" applyBorder="1" applyAlignment="1">
      <x:alignment vertical="center" wrapText="1"/>
    </x:xf>
    <x:xf numFmtId="0" fontId="16" fillId="8" borderId="7" xfId="0" applyNumberFormat="1" applyFont="1" applyFill="1" applyBorder="1" applyAlignment="1">
      <x:alignment vertical="center" wrapText="1"/>
    </x:xf>
    <x:xf numFmtId="0" fontId="16" fillId="8" xfId="0" applyNumberFormat="1" applyFont="1" applyFill="1" applyBorder="0" applyAlignment="1">
      <x:alignment vertical="center" wrapText="1"/>
    </x:xf>
    <x:xf numFmtId="0" fontId="16" fillId="8" borderId="8" xfId="0" applyNumberFormat="1" applyFont="1" applyFill="1" applyBorder="1" applyAlignment="1">
      <x:alignment vertical="center" wrapText="1"/>
    </x:xf>
    <x:xf numFmtId="0" fontId="16" fillId="9" borderId="7" xfId="0" applyNumberFormat="1" applyFont="1" applyFill="1" applyBorder="1" applyAlignment="1">
      <x:alignment vertical="center" wrapText="1"/>
    </x:xf>
    <x:xf numFmtId="0" fontId="16" fillId="9" xfId="0" applyNumberFormat="1" applyFont="1" applyFill="1" applyBorder="0" applyAlignment="1">
      <x:alignment vertical="center" wrapText="1"/>
    </x:xf>
    <x:xf numFmtId="0" fontId="16" fillId="9" borderId="8" xfId="0" applyNumberFormat="1" applyFont="1" applyFill="1" applyBorder="1" applyAlignment="1">
      <x:alignment vertical="center" wrapText="1"/>
    </x:xf>
    <x:xf numFmtId="0" fontId="18" fillId="8" xfId="0" applyNumberFormat="1" applyFont="1" applyFill="1" applyBorder="0" applyAlignment="1">
      <x:alignment vertical="center" wrapText="1"/>
    </x:xf>
    <x:xf numFmtId="0" fontId="18" fillId="8" borderId="8" xfId="0" applyNumberFormat="1" applyFont="1" applyFill="1" applyBorder="1" applyAlignment="1">
      <x:alignment vertical="center" wrapText="1"/>
    </x:xf>
    <x:xf numFmtId="0" fontId="16" fillId="5" borderId="9" xfId="0" applyNumberFormat="1" applyFont="1" applyFill="1" applyBorder="1" applyAlignment="1">
      <x:alignment vertical="center" wrapText="1"/>
    </x:xf>
    <x:xf numFmtId="0" fontId="16" fillId="5" borderId="10" xfId="0" applyNumberFormat="1" applyFont="1" applyFill="1" applyBorder="1" applyAlignment="1">
      <x:alignment vertical="center" wrapText="1"/>
    </x:xf>
    <x:xf numFmtId="0" fontId="16" fillId="5" borderId="11" xfId="0" applyNumberFormat="1" applyFont="1" applyFill="1" applyBorder="1" applyAlignment="1">
      <x:alignment vertical="center" wrapText="1"/>
    </x:xf>
    <x:xf numFmtId="0" fontId="16" fillId="5" borderId="21" xfId="0" applyNumberFormat="1" applyFont="1" applyFill="1" applyBorder="1" applyAlignment="1">
      <x:alignment vertical="center" wrapText="1"/>
    </x:xf>
    <x:xf numFmtId="0" fontId="16" fillId="5" borderId="22" xfId="0" applyNumberFormat="1" applyFont="1" applyFill="1" applyBorder="1" applyAlignment="1">
      <x:alignment vertical="center" wrapText="1"/>
    </x:xf>
    <x:xf numFmtId="0" fontId="16" fillId="9" borderId="22" xfId="0" applyNumberFormat="1" applyFont="1" applyFill="1" applyBorder="1" applyAlignment="1">
      <x:alignment vertical="center" wrapText="1"/>
    </x:xf>
    <x:xf numFmtId="0" fontId="16" fillId="5" borderId="23" xfId="0" applyNumberFormat="1" applyFont="1" applyFill="1" applyBorder="1" applyAlignment="1">
      <x:alignment vertical="center" wrapText="1"/>
    </x:xf>
    <x:xf numFmtId="0" fontId="16" fillId="5" borderId="24" xfId="0" applyNumberFormat="1" applyFont="1" applyFill="1" applyBorder="1" applyAlignment="1">
      <x:alignment vertical="center" wrapText="1"/>
    </x:xf>
    <x:xf numFmtId="0" fontId="16" fillId="5" borderId="25" xfId="0" applyNumberFormat="1" applyFont="1" applyFill="1" applyBorder="1" applyAlignment="1">
      <x:alignment vertical="center" wrapText="1"/>
    </x:xf>
    <x:xf numFmtId="0" fontId="16" fillId="9" borderId="25" xfId="0" applyNumberFormat="1" applyFont="1" applyFill="1" applyBorder="1" applyAlignment="1">
      <x:alignment vertical="center" wrapText="1"/>
    </x:xf>
    <x:xf numFmtId="0" fontId="16" fillId="5" borderId="26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/>
    <x:xf numFmtId="0" fontId="18" fillId="5" borderId="23" xfId="0" applyNumberFormat="1" applyFont="1" applyFill="1" applyBorder="1" applyAlignment="1">
      <x:alignment vertical="center" wrapText="1"/>
    </x:xf>
    <x:xf numFmtId="0" fontId="18" fillId="5" borderId="26" xfId="0" applyNumberFormat="1" applyFont="1" applyFill="1" applyBorder="1" applyAlignment="1">
      <x:alignment vertical="center" wrapText="1"/>
    </x:xf>
    <x:xf numFmtId="200" fontId="18" fillId="5" xfId="0" applyNumberFormat="1" applyFont="1" applyFill="1" applyBorder="0" applyAlignment="1">
      <x:alignment horizontal="center" vertical="center" wrapText="1"/>
    </x:xf>
    <x:xf numFmtId="200" fontId="16" fillId="5" xfId="0" applyNumberFormat="1" applyFont="1" applyFill="1" applyBorder="0" applyAlignment="1">
      <x:alignment vertical="center" wrapText="1"/>
    </x:xf>
    <x:xf numFmtId="201" fontId="16" fillId="9" borderId="22" xfId="0" applyNumberFormat="1" applyFont="1" applyFill="1" applyBorder="1" applyAlignment="1">
      <x:alignment vertical="center" wrapText="1"/>
    </x:xf>
    <x:xf numFmtId="200" fontId="16" fillId="9" borderId="22" xfId="0" applyNumberFormat="1" applyFont="1" applyFill="1" applyBorder="1" applyAlignment="1">
      <x:alignment vertical="center" wrapText="1"/>
    </x:xf>
    <x:xf numFmtId="202" fontId="16" fillId="11" borderId="22" xfId="0" applyNumberFormat="1" applyFont="1" applyFill="1" applyBorder="1" applyAlignment="1">
      <x:alignment vertical="center" wrapText="1"/>
    </x:xf>
    <x:xf numFmtId="0" fontId="16" fillId="9" borderId="23" xfId="0" applyNumberFormat="1" applyFont="1" applyFill="1" applyBorder="1" applyAlignment="1">
      <x:alignment vertical="center" wrapText="1"/>
    </x:xf>
    <x:xf numFmtId="201" fontId="16" fillId="9" borderId="25" xfId="0" applyNumberFormat="1" applyFont="1" applyFill="1" applyBorder="1" applyAlignment="1">
      <x:alignment vertical="center" wrapText="1"/>
    </x:xf>
    <x:xf numFmtId="200" fontId="16" fillId="9" borderId="25" xfId="0" applyNumberFormat="1" applyFont="1" applyFill="1" applyBorder="1" applyAlignment="1">
      <x:alignment vertical="center" wrapText="1"/>
    </x:xf>
    <x:xf numFmtId="202" fontId="16" fillId="11" borderId="25" xfId="0" applyNumberFormat="1" applyFont="1" applyFill="1" applyBorder="1" applyAlignment="1">
      <x:alignment vertical="center" wrapText="1"/>
    </x:xf>
    <x:xf numFmtId="0" fontId="16" fillId="9" borderId="26" xfId="0" applyNumberFormat="1" applyFont="1" applyFill="1" applyBorder="1" applyAlignment="1">
      <x:alignment vertical="center" wrapText="1"/>
    </x:xf>
    <x:xf numFmtId="0" fontId="16" fillId="12" borderId="7" xfId="0" applyNumberFormat="1" applyFont="1" applyFill="1" applyBorder="1" applyAlignment="1">
      <x:alignment vertical="center" wrapText="1"/>
    </x:xf>
    <x:xf numFmtId="0" fontId="16" fillId="12" xfId="0" applyNumberFormat="1" applyFont="1" applyFill="1" applyBorder="0" applyAlignment="1">
      <x:alignment vertical="center" wrapText="1"/>
    </x:xf>
    <x:xf numFmtId="0" fontId="16" fillId="12" borderId="8" xfId="0" applyNumberFormat="1" applyFont="1" applyFill="1" applyBorder="1" applyAlignment="1">
      <x:alignment vertical="center" wrapText="1"/>
    </x:xf>
    <x:xf numFmtId="0" fontId="22" fillId="12" borderId="7" xfId="0" applyNumberFormat="1" applyFont="1" applyFill="1" applyBorder="1" applyAlignment="1">
      <x:alignment vertical="center" wrapText="1"/>
    </x:xf>
    <x:xf numFmtId="0" fontId="22" fillId="12" xfId="0" applyNumberFormat="1" applyFont="1" applyFill="1" applyBorder="0" applyAlignment="1">
      <x:alignment vertical="center" wrapText="1"/>
    </x:xf>
    <x:xf numFmtId="0" fontId="22" fillId="12" borderId="8" xfId="0" applyNumberFormat="1" applyFont="1" applyFill="1" applyBorder="1" applyAlignment="1">
      <x:alignment vertical="center" wrapText="1"/>
    </x:xf>
    <x:xf numFmtId="0" fontId="16" fillId="5" borderId="27" xfId="0" applyNumberFormat="1" applyFont="1" applyFill="1" applyBorder="1" applyAlignment="1">
      <x:alignment vertical="center" wrapText="1"/>
    </x:xf>
    <x:xf numFmtId="0" fontId="16" fillId="5" borderId="28" xfId="0" applyNumberFormat="1" applyFont="1" applyFill="1" applyBorder="1" applyAlignment="1">
      <x:alignment vertical="center" wrapText="1"/>
    </x:xf>
    <x:xf numFmtId="0" fontId="16" fillId="5" borderId="29" xfId="0" applyNumberFormat="1" applyFont="1" applyFill="1" applyBorder="1" applyAlignment="1">
      <x:alignment vertical="center" wrapText="1"/>
    </x:xf>
    <x:xf numFmtId="0" fontId="16" fillId="5" borderId="30" xfId="0" applyNumberFormat="1" applyFont="1" applyFill="1" applyBorder="1" applyAlignment="1">
      <x:alignment vertical="center" wrapText="1"/>
    </x:xf>
    <x:xf numFmtId="0" fontId="16" fillId="5" borderId="31" xfId="0" applyNumberFormat="1" applyFont="1" applyFill="1" applyBorder="1" applyAlignment="1">
      <x:alignment vertical="center" wrapText="1"/>
    </x:xf>
    <x:xf numFmtId="0" fontId="16" fillId="5" borderId="32" xfId="0" applyNumberFormat="1" applyFont="1" applyFill="1" applyBorder="1" applyAlignment="1">
      <x:alignment vertical="center" wrapText="1"/>
    </x:xf>
    <x:xf numFmtId="0" fontId="16" fillId="13" borderId="27" xfId="0" applyNumberFormat="1" applyFont="1" applyFill="1" applyBorder="1" applyAlignment="1">
      <x:alignment vertical="center" wrapText="1"/>
    </x:xf>
    <x:xf numFmtId="0" fontId="16" fillId="13" borderId="28" xfId="0" applyNumberFormat="1" applyFont="1" applyFill="1" applyBorder="1" applyAlignment="1">
      <x:alignment vertical="center" wrapText="1"/>
    </x:xf>
    <x:xf numFmtId="0" fontId="16" fillId="13" borderId="29" xfId="0" applyNumberFormat="1" applyFont="1" applyFill="1" applyBorder="1" applyAlignment="1">
      <x:alignment vertical="center" wrapText="1"/>
    </x:xf>
    <x:xf numFmtId="0" fontId="20" fillId="13" borderId="27" xfId="0" applyNumberFormat="1" applyFont="1" applyFill="1" applyBorder="1" applyAlignment="1">
      <x:alignment vertical="center" wrapText="1"/>
    </x:xf>
    <x:xf numFmtId="0" fontId="20" fillId="13" borderId="28" xfId="0" applyNumberFormat="1" applyFont="1" applyFill="1" applyBorder="1" applyAlignment="1">
      <x:alignment vertical="center" wrapText="1"/>
    </x:xf>
    <x:xf numFmtId="0" fontId="20" fillId="13" borderId="29" xfId="0" applyNumberFormat="1" applyFont="1" applyFill="1" applyBorder="1" applyAlignment="1">
      <x:alignment vertical="center" wrapText="1"/>
    </x:xf>
    <x:xf numFmtId="0" fontId="16" fillId="14" borderId="31" xfId="0" applyNumberFormat="1" applyFont="1" applyFill="1" applyBorder="1" applyAlignment="1">
      <x:alignment vertical="center" wrapText="1"/>
    </x:xf>
    <x:xf numFmtId="0" fontId="16" fillId="14" borderId="32" xfId="0" applyNumberFormat="1" applyFont="1" applyFill="1" applyBorder="1" applyAlignment="1">
      <x:alignment vertical="center" wrapText="1"/>
    </x:xf>
    <x:xf numFmtId="0" fontId="16" fillId="15" borderId="31" xfId="0" applyNumberFormat="1" applyFont="1" applyFill="1" applyBorder="1" applyAlignment="1">
      <x:alignment vertical="center" wrapText="1"/>
    </x:xf>
    <x:xf numFmtId="203" fontId="16" fillId="14" borderId="31" xfId="0" applyNumberFormat="1" applyFont="1" applyFill="1" applyBorder="1" applyAlignment="1">
      <x:alignment vertical="center" wrapText="1"/>
    </x:xf>
    <x:xf numFmtId="203" fontId="16" fillId="15" borderId="3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332271bd948ce" /><Relationship Type="http://schemas.openxmlformats.org/officeDocument/2006/relationships/theme" Target="/xl/theme/theme1.xml" Id="Rb1b6b5922f124b67" /><Relationship Type="http://schemas.openxmlformats.org/officeDocument/2006/relationships/sharedStrings" Target="/xl/sharedStrings.xml" Id="R7337ad37e0c1478e" /><Relationship Type="http://schemas.openxmlformats.org/officeDocument/2006/relationships/worksheet" Target="/xl/worksheets/sheet1.xml" Id="R9d63f8b368c14374" /><Relationship Type="http://schemas.openxmlformats.org/officeDocument/2006/relationships/worksheet" Target="/xl/worksheets/sheet2.xml" Id="Rdc4f1207a4604ed7" /><Relationship Type="http://schemas.openxmlformats.org/officeDocument/2006/relationships/worksheet" Target="/xl/worksheets/sheet3.xml" Id="R5f5481a71ccc4d58" /><Relationship Type="http://schemas.openxmlformats.org/officeDocument/2006/relationships/worksheet" Target="/xl/worksheets/sheet4.xml" Id="R3737ca1b9e044165" /><Relationship Type="http://schemas.openxmlformats.org/officeDocument/2006/relationships/worksheet" Target="/xl/worksheets/sheet5.xml" Id="Recf32fce413d4761" /><Relationship Type="http://schemas.openxmlformats.org/officeDocument/2006/relationships/worksheet" Target="/xl/worksheets/sheet6.xml" Id="Rde8fe009a2f24e2e" /></Relationships>
</file>

<file path=xl/tables/table1.xml><?xml version="1.0" encoding="utf-8"?>
<table xmlns="http://schemas.openxmlformats.org/spreadsheetml/2006/main" id="1" name="EnvironmentAnswers" displayName="EnvironmentAnswers" ref="A7:I30" headerRowCount="1" totalsRowCount="0" totalsRowShown="0">
  <tableColumns count="9">
    <tableColumn id="1" name="ID"/>
    <tableColumn id="2" name="确认类别"/>
    <tableColumn id="3" name="需环境负责人确认的事项"/>
    <tableColumn id="4" name="ITOM 侧负责事项"/>
    <tableColumn id="5" name="Housing 回答"/>
    <tableColumn id="6" name="Hosting 回答"/>
    <tableColumn id="7" name="据点 LAN 回答"/>
    <tableColumn id="8" name="主要责任方（建议）"/>
    <tableColumn id="9" name="依据 / 类别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ConnectivityRequirements" displayName="ConnectivityRequirements" ref="A7:J27" headerRowCount="1" totalsRowCount="0" totalsRowShown="0">
  <tableColumns count="10">
    <tableColumn id="1" name="ID"/>
    <tableColumn id="2" name="适用条件"/>
    <tableColumn id="3" name="源地址 / 设备"/>
    <tableColumn id="4" name="目的地址 / 设备"/>
    <tableColumn id="5" name="协议 / 目的端口"/>
    <tableColumn id="6" name="用途与发生时机"/>
    <tableColumn id="7" name="确认条件与注意事项"/>
    <tableColumn id="8" name="ITOM 提供值 / 环境差异与申请"/>
    <tableColumn id="9" name="放行判断"/>
    <tableColumn id="10" name="依据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easurementMethods" displayName="MeasurementMethods" ref="A8:G13" headerRowCount="1" totalsRowCount="0" totalsRowShown="0">
  <tableColumns count="7">
    <tableColumn id="1" name="方法 ID"/>
    <tableColumn id="2" name="获取方法"/>
    <tableColumn id="3" name="可以确认什么"/>
    <tableColumn id="4" name="限制与注意事项"/>
    <tableColumn id="5" name="适用环境与准备"/>
    <tableColumn id="6" name="结果应如何表述"/>
    <tableColumn id="7" name="依据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MeasurementPhases" displayName="MeasurementPhases" ref="A16:G23" headerRowCount="1" totalsRowCount="0" totalsRowShown="0">
  <tableColumns count="7">
    <tableColumn id="1" name="阶段 ID"/>
    <tableColumn id="2" name="测量对象"/>
    <tableColumn id="3" name="实施条件（建议）"/>
    <tableColumn id="4" name="应区分或记录什么"/>
    <tableColumn id="5" name="汇报用途"/>
    <tableColumn id="6" name="确认责任方"/>
    <tableColumn id="7" name="依据 / 类别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rafficMeasurements" displayName="TrafficMeasurements" ref="A9:P21" headerRowCount="1" totalsRowCount="0" totalsRowShown="0">
  <tableColumns count="16">
    <tableColumn id="1" name="ID"/>
    <tableColumn id="2" name="环境"/>
    <tableColumn id="3" name="测量阶段"/>
    <tableColumn id="4" name="通信 ID / 观测对象与边界"/>
    <tableColumn id="5" name="开始时间（JST）"/>
    <tableColumn id="6" name="结束时间（JST）"/>
    <tableColumn id="7" name="接收（Bytes）"/>
    <tableColumn id="8" name="发送（Bytes）"/>
    <tableColumn id="9" name="期间量（GB）"/>
    <tableColumn id="10" name="期间（小时）"/>
    <tableColumn id="11" name="平均（Mbps）"/>
    <tableColumn id="12" name="归属判断"/>
    <tableColumn id="13" name="目标台数"/>
    <tableColumn id="14" name="执行次数 / 观察天数"/>
    <tableColumn id="15" name="条件 / 其他通信 / 证据"/>
    <tableColumn id="16" name="确认状态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b2b588140f4e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88ed38da1e4f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0abf97cbf94905" /><Relationship Type="http://schemas.openxmlformats.org/officeDocument/2006/relationships/table" Target="/xl/tables/table4.xml" Id="Rda302711a87043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a1db416c7ff449b" /></Relationships>
</file>

<file path=xl/worksheets/sheet1.xml><?xml version="1.0" encoding="utf-8"?>
<x:worksheet xmlns:x="http://schemas.openxmlformats.org/spreadsheetml/2006/main">
  <x:sheetPr>
    <x:tabColor rgb="FF44444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380000114440918" hidden="0" customWidth="1"/>
    <x:col min="2" max="2" width="21.8799991607666" hidden="0" customWidth="1"/>
    <x:col min="3" max="3" width="22.5" hidden="0" customWidth="1"/>
    <x:col min="4" max="4" width="22.5" hidden="0" customWidth="1"/>
    <x:col min="5" max="5" width="21.8799991607666" hidden="0" customWidth="1"/>
    <x:col min="6" max="6" width="21.8799991607666" hidden="0" customWidth="1"/>
    <x:col min="7" max="7" width="21.8799991607666" hidden="0" customWidth="1"/>
    <x:col min="8" max="8" width="22.5" hidden="0" customWidth="1"/>
  </x:cols>
  <x:sheetData>
    <x:row r="1" ht="21" customHeight="1">
      <x:c r="A1" s="173"/>
      <x:c r="B1" s="174"/>
      <x:c r="C1" s="174"/>
      <x:c r="D1" s="174"/>
      <x:c r="E1" s="174"/>
      <x:c r="F1" s="174"/>
      <x:c r="G1" s="174"/>
      <x:c r="H1" s="175"/>
    </x:row>
    <x:row r="2" ht="30" customHeight="1">
      <x:c r="A2" s="176" t="str">
        <x:v>MID Server 部署与 Discovery 验证：环境负责人事前确认</x:v>
      </x:c>
      <x:c r="B2" s="177" t="str">
        <x:v>MID Server 部署与 Discovery 验证：环境负责人事前确认</x:v>
      </x:c>
      <x:c r="C2" s="177" t="str">
        <x:v>MID Server 部署与 Discovery 验证：环境负责人事前确认</x:v>
      </x:c>
      <x:c r="D2" s="177" t="str">
        <x:v>MID Server 部署与 Discovery 验证：环境负责人事前确认</x:v>
      </x:c>
      <x:c r="E2" s="177" t="str">
        <x:v>MID Server 部署与 Discovery 验证：环境负责人事前确认</x:v>
      </x:c>
      <x:c r="F2" s="177" t="str">
        <x:v>MID Server 部署与 Discovery 验证：环境负责人事前确认</x:v>
      </x:c>
      <x:c r="G2" s="177" t="str">
        <x:v>MID Server 部署与 Discovery 验证：环境负责人事前确认</x:v>
      </x:c>
      <x:c r="H2" s="178" t="str">
        <x:v>MID Server 部署与 Discovery 验证：环境负责人事前确认</x:v>
      </x:c>
    </x:row>
    <x:row r="3" ht="28.5" customHeight="1">
      <x:c r="A3" s="179" t="str">
        <x:v>修订版 v2 / 2026-10-01　适用环境：Housing、Hosting、据点 LAN　状态：通信条件与 PoC 实测结果提供稿</x:v>
      </x:c>
      <x:c r="B3" s="180" t="str">
        <x:v>修订版 v2 / 2026-10-01　适用环境：Housing、Hosting、据点 LAN　状态：通信条件与 PoC 实测结果提供稿</x:v>
      </x:c>
      <x:c r="C3" s="180" t="str">
        <x:v>修订版 v2 / 2026-10-01　适用环境：Housing、Hosting、据点 LAN　状态：通信条件与 PoC 实测结果提供稿</x:v>
      </x:c>
      <x:c r="D3" s="180" t="str">
        <x:v>修订版 v2 / 2026-10-01　适用环境：Housing、Hosting、据点 LAN　状态：通信条件与 PoC 实测结果提供稿</x:v>
      </x:c>
      <x:c r="E3" s="180" t="str">
        <x:v>修订版 v2 / 2026-10-01　适用环境：Housing、Hosting、据点 LAN　状态：通信条件与 PoC 实测结果提供稿</x:v>
      </x:c>
      <x:c r="F3" s="180" t="str">
        <x:v>修订版 v2 / 2026-10-01　适用环境：Housing、Hosting、据点 LAN　状态：通信条件与 PoC 实测结果提供稿</x:v>
      </x:c>
      <x:c r="G3" s="180" t="str">
        <x:v>修订版 v2 / 2026-10-01　适用环境：Housing、Hosting、据点 LAN　状态：通信条件与 PoC 实测结果提供稿</x:v>
      </x:c>
      <x:c r="H3" s="181" t="str">
        <x:v>修订版 v2 / 2026-10-01　适用环境：Housing、Hosting、据点 LAN　状态：通信条件与 PoC 实测结果提供稿</x:v>
      </x:c>
    </x:row>
    <x:row r="4" ht="21" customHeight="1">
      <x:c r="A4" s="182"/>
      <x:c r="B4" s="183"/>
      <x:c r="C4" s="183"/>
      <x:c r="D4" s="183"/>
      <x:c r="E4" s="183"/>
      <x:c r="F4" s="183"/>
      <x:c r="G4" s="183"/>
      <x:c r="H4" s="184"/>
    </x:row>
    <x:row r="5" ht="25.5" customHeight="1">
      <x:c r="A5" s="185" t="str">
        <x:v>1. 本次协调目的</x:v>
      </x:c>
      <x:c r="B5" s="186" t="str">
        <x:v>1. 本次协调目的</x:v>
      </x:c>
      <x:c r="C5" s="186" t="str">
        <x:v>1. 本次协调目的</x:v>
      </x:c>
      <x:c r="D5" s="186" t="str">
        <x:v>1. 本次协调目的</x:v>
      </x:c>
      <x:c r="E5" s="186" t="str">
        <x:v>1. 本次协调目的</x:v>
      </x:c>
      <x:c r="F5" s="186" t="str">
        <x:v>1. 本次协调目的</x:v>
      </x:c>
      <x:c r="G5" s="186" t="str">
        <x:v>1. 本次协调目的</x:v>
      </x:c>
      <x:c r="H5" s="187" t="str">
        <x:v>1. 本次协调目的</x:v>
      </x:c>
    </x:row>
    <x:row r="6" ht="90" customHeight="1">
      <x:c r="A6" s="182" t="str">
        <x:v>ITOM 实施方依据自有 Azure PoC 提供通信要件与实测通信量，供 Housing、Hosting、据点 LAN 负责人判断部署条件和网络影响。当前已完成 1 台 ACC 经 MID Server 向 ServiceNow Instance 传输的测试；实际端口、采集配置、测量期间与流量数值由 ITOM 整理并补充。环境负责人确认本环境的地址、路由、FW 许可、资源、认证与实施时间。</x:v>
      </x:c>
      <x:c r="B6" s="183" t="str">
        <x:v>ITOM 实施方依据自有 Azure PoC 提供通信要件与实测通信量，供 Housing、Hosting、据点 LAN 负责人判断部署条件和网络影响。当前已完成 1 台 ACC 经 MID Server 向 ServiceNow Instance 传输的测试；实际端口、采集配置、测量期间与流量数值由 ITOM 整理并补充。环境负责人确认本环境的地址、路由、FW 许可、资源、认证与实施时间。</x:v>
      </x:c>
      <x:c r="C6" s="183" t="str">
        <x:v>ITOM 实施方依据自有 Azure PoC 提供通信要件与实测通信量，供 Housing、Hosting、据点 LAN 负责人判断部署条件和网络影响。当前已完成 1 台 ACC 经 MID Server 向 ServiceNow Instance 传输的测试；实际端口、采集配置、测量期间与流量数值由 ITOM 整理并补充。环境负责人确认本环境的地址、路由、FW 许可、资源、认证与实施时间。</x:v>
      </x:c>
      <x:c r="D6" s="183" t="str">
        <x:v>ITOM 实施方依据自有 Azure PoC 提供通信要件与实测通信量，供 Housing、Hosting、据点 LAN 负责人判断部署条件和网络影响。当前已完成 1 台 ACC 经 MID Server 向 ServiceNow Instance 传输的测试；实际端口、采集配置、测量期间与流量数值由 ITOM 整理并补充。环境负责人确认本环境的地址、路由、FW 许可、资源、认证与实施时间。</x:v>
      </x:c>
      <x:c r="E6" s="183" t="str">
        <x:v>ITOM 实施方依据自有 Azure PoC 提供通信要件与实测通信量，供 Housing、Hosting、据点 LAN 负责人判断部署条件和网络影响。当前已完成 1 台 ACC 经 MID Server 向 ServiceNow Instance 传输的测试；实际端口、采集配置、测量期间与流量数值由 ITOM 整理并补充。环境负责人确认本环境的地址、路由、FW 许可、资源、认证与实施时间。</x:v>
      </x:c>
      <x:c r="F6" s="183" t="str">
        <x:v>ITOM 实施方依据自有 Azure PoC 提供通信要件与实测通信量，供 Housing、Hosting、据点 LAN 负责人判断部署条件和网络影响。当前已完成 1 台 ACC 经 MID Server 向 ServiceNow Instance 传输的测试；实际端口、采集配置、测量期间与流量数值由 ITOM 整理并补充。环境负责人确认本环境的地址、路由、FW 许可、资源、认证与实施时间。</x:v>
      </x:c>
      <x:c r="G6" s="183" t="str">
        <x:v>ITOM 实施方依据自有 Azure PoC 提供通信要件与实测通信量，供 Housing、Hosting、据点 LAN 负责人判断部署条件和网络影响。当前已完成 1 台 ACC 经 MID Server 向 ServiceNow Instance 传输的测试；实际端口、采集配置、测量期间与流量数值由 ITOM 整理并补充。环境负责人确认本环境的地址、路由、FW 许可、资源、认证与实施时间。</x:v>
      </x:c>
      <x:c r="H6" s="184" t="str">
        <x:v>ITOM 实施方依据自有 Azure PoC 提供通信要件与实测通信量，供 Housing、Hosting、据点 LAN 负责人判断部署条件和网络影响。当前已完成 1 台 ACC 经 MID Server 向 ServiceNow Instance 传输的测试；实际端口、采集配置、测量期间与流量数值由 ITOM 整理并补充。环境负责人确认本环境的地址、路由、FW 许可、资源、认证与实施时间。</x:v>
      </x:c>
    </x:row>
    <x:row r="7" ht="21" customHeight="1">
      <x:c r="A7" s="182"/>
      <x:c r="B7" s="183"/>
      <x:c r="C7" s="183"/>
      <x:c r="D7" s="183"/>
      <x:c r="E7" s="183"/>
      <x:c r="F7" s="183"/>
      <x:c r="G7" s="183"/>
      <x:c r="H7" s="184"/>
    </x:row>
    <x:row r="8" ht="25.5" customHeight="1">
      <x:c r="A8" s="185" t="str">
        <x:v>2. 验证基础与提交内容</x:v>
      </x:c>
      <x:c r="B8" s="186" t="str">
        <x:v>2. 验证基础与提交内容</x:v>
      </x:c>
      <x:c r="C8" s="186" t="str">
        <x:v>2. 验证基础与提交内容</x:v>
      </x:c>
      <x:c r="D8" s="186" t="str">
        <x:v>2. 验证基础与提交内容</x:v>
      </x:c>
      <x:c r="E8" s="186" t="str">
        <x:v>2. 验证基础与提交内容</x:v>
      </x:c>
      <x:c r="F8" s="186" t="str">
        <x:v>2. 验证基础与提交内容</x:v>
      </x:c>
      <x:c r="G8" s="186" t="str">
        <x:v>2. 验证基础与提交内容</x:v>
      </x:c>
      <x:c r="H8" s="187" t="str">
        <x:v>2. 验证基础与提交内容</x:v>
      </x:c>
    </x:row>
    <x:row r="9" ht="27" customHeight="1">
      <x:c r="A9" s="188" t="str">
        <x:v>项目</x:v>
      </x:c>
      <x:c r="B9" s="189" t="str">
        <x:v>项目</x:v>
      </x:c>
      <x:c r="C9" s="189" t="str">
        <x:v>内容</x:v>
      </x:c>
      <x:c r="D9" s="189" t="str">
        <x:v>内容</x:v>
      </x:c>
      <x:c r="E9" s="189" t="str">
        <x:v>内容</x:v>
      </x:c>
      <x:c r="F9" s="189" t="str">
        <x:v>注意事项</x:v>
      </x:c>
      <x:c r="G9" s="189" t="str">
        <x:v>注意事项</x:v>
      </x:c>
      <x:c r="H9" s="190" t="str">
        <x:v>注意事项</x:v>
      </x:c>
    </x:row>
    <x:row r="10" ht="52.5" customHeight="1">
      <x:c r="A10" s="191" t="str">
        <x:v>目标环境</x:v>
      </x:c>
      <x:c r="B10" s="192" t="str">
        <x:v>目标环境</x:v>
      </x:c>
      <x:c r="C10" s="183" t="str">
        <x:v>Housing / Hosting / 据点 LAN（拠点 LAN）</x:v>
      </x:c>
      <x:c r="D10" s="183" t="str">
        <x:v>Housing / Hosting / 据点 LAN（拠点 LAN）</x:v>
      </x:c>
      <x:c r="E10" s="183" t="str">
        <x:v>Housing / Hosting / 据点 LAN（拠点 LAN）</x:v>
      </x:c>
      <x:c r="F10" s="183" t="str">
        <x:v>环境名称的定义、管理范围、负责人及合同责任边界需共同确认。Azure 相关要求仅适用于实际使用 Azure 的环境。</x:v>
      </x:c>
      <x:c r="G10" s="183" t="str">
        <x:v>环境名称的定义、管理范围、负责人及合同责任边界需共同确认。Azure 相关要求仅适用于实际使用 Azure 的环境。</x:v>
      </x:c>
      <x:c r="H10" s="184" t="str">
        <x:v>环境名称的定义、管理范围、负责人及合同责任边界需共同确认。Azure 相关要求仅适用于实际使用 Azure 的环境。</x:v>
      </x:c>
    </x:row>
    <x:row r="11" ht="52.5" customHeight="1">
      <x:c r="A11" s="191" t="str">
        <x:v>采集方式</x:v>
      </x:c>
      <x:c r="B11" s="192" t="str">
        <x:v>采集方式</x:v>
      </x:c>
      <x:c r="C11" s="183" t="str">
        <x:v>MID Server + Discovery；采用 ACC 的环境使用 ACC→MID→Instance 路径</x:v>
      </x:c>
      <x:c r="D11" s="183" t="str">
        <x:v>MID Server + Discovery；采用 ACC 的环境使用 ACC→MID→Instance 路径</x:v>
      </x:c>
      <x:c r="E11" s="183" t="str">
        <x:v>MID Server + Discovery；采用 ACC 的环境使用 ACC→MID→Instance 路径</x:v>
      </x:c>
      <x:c r="F11" s="183" t="str">
        <x:v>由 ITOM 根据目标和实际采用方式提供通信条件。已完成的单台 ACC PoC 是当前参考基础，其他目标方式按对应配置补充验证。</x:v>
      </x:c>
      <x:c r="G11" s="183" t="str">
        <x:v>由 ITOM 根据目标和实际采用方式提供通信条件。已完成的单台 ACC PoC 是当前参考基础，其他目标方式按对应配置补充验证。</x:v>
      </x:c>
      <x:c r="H11" s="184" t="str">
        <x:v>由 ITOM 根据目标和实际采用方式提供通信条件。已完成的单台 ACC PoC 是当前参考基础，其他目标方式按对应配置补充验证。</x:v>
      </x:c>
    </x:row>
    <x:row r="12" ht="75" customHeight="1">
      <x:c r="A12" s="191" t="str">
        <x:v>已完成的 PoC</x:v>
      </x:c>
      <x:c r="B12" s="192" t="str">
        <x:v>已完成的 PoC</x:v>
      </x:c>
      <x:c r="C12" s="183" t="str">
        <x:v>Azure：1 台 ACC → MID Server → ServiceNow Instance</x:v>
      </x:c>
      <x:c r="D12" s="183" t="str">
        <x:v>Azure：1 台 ACC → MID Server → ServiceNow Instance</x:v>
      </x:c>
      <x:c r="E12" s="183" t="str">
        <x:v>Azure：1 台 ACC → MID Server → ServiceNow Instance</x:v>
      </x:c>
      <x:c r="F12" s="183" t="str">
        <x:v>链路测试完成为实施方说明。PoC 日期、版本、端口、Policy/Check 周期、结果与证据由 ITOM 回填；不能由“已连接”推导出通信量已测定。</x:v>
      </x:c>
      <x:c r="G12" s="183" t="str">
        <x:v>链路测试完成为实施方说明。PoC 日期、版本、端口、Policy/Check 周期、结果与证据由 ITOM 回填；不能由“已连接”推导出通信量已测定。</x:v>
      </x:c>
      <x:c r="H12" s="184" t="str">
        <x:v>链路测试完成为实施方说明。PoC 日期、版本、端口、Policy/Check 周期、结果与证据由 ITOM 回填；不能由“已连接”推导出通信量已测定。</x:v>
      </x:c>
    </x:row>
    <x:row r="13" ht="75" customHeight="1">
      <x:c r="A13" s="191" t="str">
        <x:v>ITOM 提交资料</x:v>
      </x:c>
      <x:c r="B13" s="192" t="str">
        <x:v>ITOM 提交资料</x:v>
      </x:c>
      <x:c r="C13" s="183" t="str">
        <x:v>通信条件清单 + PoC 流量结果 + 实测条件与证据</x:v>
      </x:c>
      <x:c r="D13" s="183" t="str">
        <x:v>通信条件清单 + PoC 流量结果 + 实测条件与证据</x:v>
      </x:c>
      <x:c r="E13" s="183" t="str">
        <x:v>通信条件清单 + PoC 流量结果 + 实测条件与证据</x:v>
      </x:c>
      <x:c r="F13" s="183" t="str">
        <x:v>第 03 页提供通信 ID、方向、地址、实际端口、用途与时机；第 04/05 页按同一通信 ID 提交流量、阶段、单位、测量边界与记录 ID。</x:v>
      </x:c>
      <x:c r="G13" s="183" t="str">
        <x:v>第 03 页提供通信 ID、方向、地址、实际端口、用途与时机；第 04/05 页按同一通信 ID 提交流量、阶段、单位、测量边界与记录 ID。</x:v>
      </x:c>
      <x:c r="H13" s="184" t="str">
        <x:v>第 03 页提供通信 ID、方向、地址、实际端口、用途与时机；第 04/05 页按同一通信 ID 提交流量、阶段、单位、测量边界与记录 ID。</x:v>
      </x:c>
    </x:row>
    <x:row r="14" ht="75" customHeight="1">
      <x:c r="A14" s="191" t="str">
        <x:v>各环境确认</x:v>
      </x:c>
      <x:c r="B14" s="192" t="str">
        <x:v>各环境确认</x:v>
      </x:c>
      <x:c r="C14" s="183" t="str">
        <x:v>适用方式、目标规模、实际地址、放行判断与实施窗口</x:v>
      </x:c>
      <x:c r="D14" s="183" t="str">
        <x:v>适用方式、目标规模、实际地址、放行判断与实施窗口</x:v>
      </x:c>
      <x:c r="E14" s="183" t="str">
        <x:v>适用方式、目标规模、实际地址、放行判断与实施窗口</x:v>
      </x:c>
      <x:c r="F14" s="183" t="str">
        <x:v>各环境确认与 Azure PoC 的差异及能否接受。PoC 的 IP、端口、回线和通信量不能直接当作该环境的已批准设计或保证值。</x:v>
      </x:c>
      <x:c r="G14" s="183" t="str">
        <x:v>各环境确认与 Azure PoC 的差异及能否接受。PoC 的 IP、端口、回线和通信量不能直接当作该环境的已批准设计或保证值。</x:v>
      </x:c>
      <x:c r="H14" s="184" t="str">
        <x:v>各环境确认与 Azure PoC 的差异及能否接受。PoC 的 IP、端口、回线和通信量不能直接当作该环境的已批准设计或保证值。</x:v>
      </x:c>
    </x:row>
    <x:row r="15" ht="21" customHeight="1">
      <x:c r="A15" s="182"/>
      <x:c r="B15" s="183"/>
      <x:c r="C15" s="183"/>
      <x:c r="D15" s="183"/>
      <x:c r="E15" s="183"/>
      <x:c r="F15" s="183"/>
      <x:c r="G15" s="183"/>
      <x:c r="H15" s="184"/>
    </x:row>
    <x:row r="16" ht="25.5" customHeight="1">
      <x:c r="A16" s="185" t="str">
        <x:v>3. 通信概览（主动发起连接的方向）</x:v>
      </x:c>
      <x:c r="B16" s="186" t="str">
        <x:v>3. 通信概览（主动发起连接的方向）</x:v>
      </x:c>
      <x:c r="C16" s="186" t="str">
        <x:v>3. 通信概览（主动发起连接的方向）</x:v>
      </x:c>
      <x:c r="D16" s="186" t="str">
        <x:v>3. 通信概览（主动发起连接的方向）</x:v>
      </x:c>
      <x:c r="E16" s="186" t="str">
        <x:v>3. 通信概览（主动发起连接的方向）</x:v>
      </x:c>
      <x:c r="F16" s="186" t="str">
        <x:v>3. 通信概览（主动发起连接的方向）</x:v>
      </x:c>
      <x:c r="G16" s="186" t="str">
        <x:v>3. 通信概览（主动发起连接的方向）</x:v>
      </x:c>
      <x:c r="H16" s="187" t="str">
        <x:v>3. 通信概览（主动发起连接的方向）</x:v>
      </x:c>
    </x:row>
    <x:row r="17" ht="66" customHeight="1">
      <x:c r="A17" s="182" t="str">
        <x:v>1. MID Server → ServiceNow Instance：HTTPS / TCP 443（直接连接或经批准的 Proxy）
2. MID Server → 目标设备：按选用方式使用 SSH、WMI/WinRM、SNMP 等
3. ACC Agent → MID Server WebSocket Listener：WSS / TCP &lt;实际端口&gt;（采用 ACC 时；默认 8800 仅供核对）</x:v>
      </x:c>
      <x:c r="B17" s="183" t="str">
        <x:v>1. MID Server → ServiceNow Instance：HTTPS / TCP 443（直接连接或经批准的 Proxy）
2. MID Server → 目标设备：按选用方式使用 SSH、WMI/WinRM、SNMP 等
3. ACC Agent → MID Server WebSocket Listener：WSS / TCP &lt;实际端口&gt;（采用 ACC 时；默认 8800 仅供核对）</x:v>
      </x:c>
      <x:c r="C17" s="183" t="str">
        <x:v>1. MID Server → ServiceNow Instance：HTTPS / TCP 443（直接连接或经批准的 Proxy）
2. MID Server → 目标设备：按选用方式使用 SSH、WMI/WinRM、SNMP 等
3. ACC Agent → MID Server WebSocket Listener：WSS / TCP &lt;实际端口&gt;（采用 ACC 时；默认 8800 仅供核对）</x:v>
      </x:c>
      <x:c r="D17" s="183" t="str">
        <x:v>1. MID Server → ServiceNow Instance：HTTPS / TCP 443（直接连接或经批准的 Proxy）
2. MID Server → 目标设备：按选用方式使用 SSH、WMI/WinRM、SNMP 等
3. ACC Agent → MID Server WebSocket Listener：WSS / TCP &lt;实际端口&gt;（采用 ACC 时；默认 8800 仅供核对）</x:v>
      </x:c>
      <x:c r="E17" s="183" t="str">
        <x:v>1. MID Server → ServiceNow Instance：HTTPS / TCP 443（直接连接或经批准的 Proxy）
2. MID Server → 目标设备：按选用方式使用 SSH、WMI/WinRM、SNMP 等
3. ACC Agent → MID Server WebSocket Listener：WSS / TCP &lt;实际端口&gt;（采用 ACC 时；默认 8800 仅供核对）</x:v>
      </x:c>
      <x:c r="F17" s="183" t="str">
        <x:v>1. MID Server → ServiceNow Instance：HTTPS / TCP 443（直接连接或经批准的 Proxy）
2. MID Server → 目标设备：按选用方式使用 SSH、WMI/WinRM、SNMP 等
3. ACC Agent → MID Server WebSocket Listener：WSS / TCP &lt;实际端口&gt;（采用 ACC 时；默认 8800 仅供核对）</x:v>
      </x:c>
      <x:c r="G17" s="183" t="str">
        <x:v>1. MID Server → ServiceNow Instance：HTTPS / TCP 443（直接连接或经批准的 Proxy）
2. MID Server → 目标设备：按选用方式使用 SSH、WMI/WinRM、SNMP 等
3. ACC Agent → MID Server WebSocket Listener：WSS / TCP &lt;实际端口&gt;（采用 ACC 时；默认 8800 仅供核对）</x:v>
      </x:c>
      <x:c r="H17" s="184" t="str">
        <x:v>1. MID Server → ServiceNow Instance：HTTPS / TCP 443（直接连接或经批准的 Proxy）
2. MID Server → 目标设备：按选用方式使用 SSH、WMI/WinRM、SNMP 等
3. ACC Agent → MID Server WebSocket Listener：WSS / TCP &lt;实际端口&gt;（采用 ACC 时；默认 8800 仅供核对）</x:v>
      </x:c>
    </x:row>
    <x:row r="18" ht="48" customHeight="1">
      <x:c r="A18" s="191" t="str">
        <x:v>基本 Discovery 不要求 ServiceNow Instance 主动向 MID 发起新连接。但 ACC Agent→MID、管理连接等属于其他入站路径，仍需单独判断是否放行。DNS、更新、证书验证等辅助通信在 03_通信要求 中分开列出。</x:v>
      </x:c>
      <x:c r="B18" s="192" t="str">
        <x:v>基本 Discovery 不要求 ServiceNow Instance 主动向 MID 发起新连接。但 ACC Agent→MID、管理连接等属于其他入站路径，仍需单独判断是否放行。DNS、更新、证书验证等辅助通信在 03_通信要求 中分开列出。</x:v>
      </x:c>
      <x:c r="C18" s="192" t="str">
        <x:v>基本 Discovery 不要求 ServiceNow Instance 主动向 MID 发起新连接。但 ACC Agent→MID、管理连接等属于其他入站路径，仍需单独判断是否放行。DNS、更新、证书验证等辅助通信在 03_通信要求 中分开列出。</x:v>
      </x:c>
      <x:c r="D18" s="192" t="str">
        <x:v>基本 Discovery 不要求 ServiceNow Instance 主动向 MID 发起新连接。但 ACC Agent→MID、管理连接等属于其他入站路径，仍需单独判断是否放行。DNS、更新、证书验证等辅助通信在 03_通信要求 中分开列出。</x:v>
      </x:c>
      <x:c r="E18" s="192" t="str">
        <x:v>基本 Discovery 不要求 ServiceNow Instance 主动向 MID 发起新连接。但 ACC Agent→MID、管理连接等属于其他入站路径，仍需单独判断是否放行。DNS、更新、证书验证等辅助通信在 03_通信要求 中分开列出。</x:v>
      </x:c>
      <x:c r="F18" s="192" t="str">
        <x:v>基本 Discovery 不要求 ServiceNow Instance 主动向 MID 发起新连接。但 ACC Agent→MID、管理连接等属于其他入站路径，仍需单独判断是否放行。DNS、更新、证书验证等辅助通信在 03_通信要求 中分开列出。</x:v>
      </x:c>
      <x:c r="G18" s="192" t="str">
        <x:v>基本 Discovery 不要求 ServiceNow Instance 主动向 MID 发起新连接。但 ACC Agent→MID、管理连接等属于其他入站路径，仍需单独判断是否放行。DNS、更新、证书验证等辅助通信在 03_通信要求 中分开列出。</x:v>
      </x:c>
      <x:c r="H18" s="193" t="str">
        <x:v>基本 Discovery 不要求 ServiceNow Instance 主动向 MID 发起新连接。但 ACC Agent→MID、管理连接等属于其他入站路径，仍需单独判断是否放行。DNS、更新、证书验证等辅助通信在 03_通信要求 中分开列出。</x:v>
      </x:c>
    </x:row>
    <x:row r="19" ht="21" customHeight="1">
      <x:c r="A19" s="182"/>
      <x:c r="B19" s="183"/>
      <x:c r="C19" s="183"/>
      <x:c r="D19" s="183"/>
      <x:c r="E19" s="183"/>
      <x:c r="F19" s="183"/>
      <x:c r="G19" s="183"/>
      <x:c r="H19" s="184"/>
    </x:row>
    <x:row r="20" ht="25.5" customHeight="1">
      <x:c r="A20" s="185" t="str">
        <x:v>4. 责任分工与填写顺序</x:v>
      </x:c>
      <x:c r="B20" s="186" t="str">
        <x:v>4. 责任分工与填写顺序</x:v>
      </x:c>
      <x:c r="C20" s="186" t="str">
        <x:v>4. 责任分工与填写顺序</x:v>
      </x:c>
      <x:c r="D20" s="186" t="str">
        <x:v>4. 责任分工与填写顺序</x:v>
      </x:c>
      <x:c r="E20" s="186" t="str">
        <x:v>4. 责任分工与填写顺序</x:v>
      </x:c>
      <x:c r="F20" s="186" t="str">
        <x:v>4. 责任分工与填写顺序</x:v>
      </x:c>
      <x:c r="G20" s="186" t="str">
        <x:v>4. 责任分工与填写顺序</x:v>
      </x:c>
      <x:c r="H20" s="187" t="str">
        <x:v>4. 责任分工与填写顺序</x:v>
      </x:c>
    </x:row>
    <x:row r="21" ht="55" customHeight="1">
      <x:c r="A21" s="191" t="str">
        <x:v>ITOM 实施负责人</x:v>
      </x:c>
      <x:c r="B21" s="192" t="str">
        <x:v>ITOM 实施负责人</x:v>
      </x:c>
      <x:c r="C21" s="183" t="str">
        <x:v>整理自有 Azure PoC，提供通信要件、实际配置与验证状态；自行测量并提交流量、原单位、适用条件与证据；配置并实施后续 MID/Discovery/ACC 验证。</x:v>
      </x:c>
      <x:c r="D21" s="183" t="str">
        <x:v>整理自有 Azure PoC，提供通信要件、实际配置与验证状态；自行测量并提交流量、原单位、适用条件与证据；配置并实施后续 MID/Discovery/ACC 验证。</x:v>
      </x:c>
      <x:c r="E21" s="183" t="str">
        <x:v>整理自有 Azure PoC，提供通信要件、实际配置与验证状态；自行测量并提交流量、原单位、适用条件与证据；配置并实施后续 MID/Discovery/ACC 验证。</x:v>
      </x:c>
      <x:c r="F21" s="183" t="str">
        <x:v>整理自有 Azure PoC，提供通信要件、实际配置与验证状态；自行测量并提交流量、原单位、适用条件与证据；配置并实施后续 MID/Discovery/ACC 验证。</x:v>
      </x:c>
      <x:c r="G21" s="183" t="str">
        <x:v>整理自有 Azure PoC，提供通信要件、实际配置与验证状态；自行测量并提交流量、原单位、适用条件与证据；配置并实施后续 MID/Discovery/ACC 验证。</x:v>
      </x:c>
      <x:c r="H21" s="184" t="str">
        <x:v>整理自有 Azure PoC，提供通信要件、实际配置与验证状态；自行测量并提交流量、原单位、适用条件与证据；配置并实施后续 MID/Discovery/ACC 验证。</x:v>
      </x:c>
    </x:row>
    <x:row r="22" ht="55" customHeight="1">
      <x:c r="A22" s="191" t="str">
        <x:v>环境 / 服务器负责人</x:v>
      </x:c>
      <x:c r="B22" s="192" t="str">
        <x:v>环境 / 服务器负责人</x:v>
      </x:c>
      <x:c r="C22" s="183" t="str">
        <x:v>确认本环境 MID 部署、OS/VM 和常驻服务条件，提供实际目标与管理信息、必要权限、负责人及可实施时间。</x:v>
      </x:c>
      <x:c r="D22" s="183" t="str">
        <x:v>确认本环境 MID 部署、OS/VM 和常驻服务条件，提供实际目标与管理信息、必要权限、负责人及可实施时间。</x:v>
      </x:c>
      <x:c r="E22" s="183" t="str">
        <x:v>确认本环境 MID 部署、OS/VM 和常驻服务条件，提供实际目标与管理信息、必要权限、负责人及可实施时间。</x:v>
      </x:c>
      <x:c r="F22" s="183" t="str">
        <x:v>确认本环境 MID 部署、OS/VM 和常驻服务条件，提供实际目标与管理信息、必要权限、负责人及可实施时间。</x:v>
      </x:c>
      <x:c r="G22" s="183" t="str">
        <x:v>确认本环境 MID 部署、OS/VM 和常驻服务条件，提供实际目标与管理信息、必要权限、负责人及可实施时间。</x:v>
      </x:c>
      <x:c r="H22" s="184" t="str">
        <x:v>确认本环境 MID 部署、OS/VM 和常驻服务条件，提供实际目标与管理信息、必要权限、负责人及可实施时间。</x:v>
      </x:c>
    </x:row>
    <x:row r="23" ht="55" customHeight="1">
      <x:c r="A23" s="191" t="str">
        <x:v>网络 / 安全负责人</x:v>
      </x:c>
      <x:c r="B23" s="192" t="str">
        <x:v>网络 / 安全负责人</x:v>
      </x:c>
      <x:c r="C23" s="183" t="str">
        <x:v>审查 ITOM 提供的通信 ID 与条件，确认本环境路由、DNS、Proxy、FW/NSG、申请方式与许可，判断回线影响；需要现场复核时提供现有观测条件。</x:v>
      </x:c>
      <x:c r="D23" s="183" t="str">
        <x:v>审查 ITOM 提供的通信 ID 与条件，确认本环境路由、DNS、Proxy、FW/NSG、申请方式与许可，判断回线影响；需要现场复核时提供现有观测条件。</x:v>
      </x:c>
      <x:c r="E23" s="183" t="str">
        <x:v>审查 ITOM 提供的通信 ID 与条件，确认本环境路由、DNS、Proxy、FW/NSG、申请方式与许可，判断回线影响；需要现场复核时提供现有观测条件。</x:v>
      </x:c>
      <x:c r="F23" s="183" t="str">
        <x:v>审查 ITOM 提供的通信 ID 与条件，确认本环境路由、DNS、Proxy、FW/NSG、申请方式与许可，判断回线影响；需要现场复核时提供现有观测条件。</x:v>
      </x:c>
      <x:c r="G23" s="183" t="str">
        <x:v>审查 ITOM 提供的通信 ID 与条件，确认本环境路由、DNS、Proxy、FW/NSG、申请方式与许可，判断回线影响；需要现场复核时提供现有观测条件。</x:v>
      </x:c>
      <x:c r="H23" s="184" t="str">
        <x:v>审查 ITOM 提供的通信 ID 与条件，确认本环境路由、DNS、Proxy、FW/NSG、申请方式与许可，判断回线影响；需要现场复核时提供现有观测条件。</x:v>
      </x:c>
    </x:row>
    <x:row r="24" ht="55" customHeight="1">
      <x:c r="A24" s="191" t="str">
        <x:v>业务 / 服务责任人</x:v>
      </x:c>
      <x:c r="B24" s="192" t="str">
        <x:v>业务 / 服务责任人</x:v>
      </x:c>
      <x:c r="C24" s="183" t="str">
        <x:v>批准目标、时间窗口、允许影响、停止条件与联系人，以及运维和合同责任边界。</x:v>
      </x:c>
      <x:c r="D24" s="183" t="str">
        <x:v>批准目标、时间窗口、允许影响、停止条件与联系人，以及运维和合同责任边界。</x:v>
      </x:c>
      <x:c r="E24" s="183" t="str">
        <x:v>批准目标、时间窗口、允许影响、停止条件与联系人，以及运维和合同责任边界。</x:v>
      </x:c>
      <x:c r="F24" s="183" t="str">
        <x:v>批准目标、时间窗口、允许影响、停止条件与联系人，以及运维和合同责任边界。</x:v>
      </x:c>
      <x:c r="G24" s="183" t="str">
        <x:v>批准目标、时间窗口、允许影响、停止条件与联系人，以及运维和合同责任边界。</x:v>
      </x:c>
      <x:c r="H24" s="184" t="str">
        <x:v>批准目标、时间窗口、允许影响、停止条件与联系人，以及运维和合同责任边界。</x:v>
      </x:c>
    </x:row>
    <x:row r="25" ht="21" customHeight="1">
      <x:c r="A25" s="182"/>
      <x:c r="B25" s="183"/>
      <x:c r="C25" s="183"/>
      <x:c r="D25" s="183"/>
      <x:c r="E25" s="183"/>
      <x:c r="F25" s="183"/>
      <x:c r="G25" s="183"/>
      <x:c r="H25" s="184"/>
    </x:row>
    <x:row r="26" ht="52" customHeight="1">
      <x:c r="A26" s="194" t="str">
        <x:v>提供与确认顺序：ITOM 整理第 03 页通信条件，并在第 04/05 页测量和汇总 Azure PoC 流量 → 环境负责人填写第 02 页并审查第 03/04 页的适用性、差异与许可 → 约定时间后实施。浅灰色为填写栏，较深灰色为自动计算栏。</x:v>
      </x:c>
      <x:c r="B26" s="195" t="str">
        <x:v>提供与确认顺序：ITOM 整理第 03 页通信条件，并在第 04/05 页测量和汇总 Azure PoC 流量 → 环境负责人填写第 02 页并审查第 03/04 页的适用性、差异与许可 → 约定时间后实施。浅灰色为填写栏，较深灰色为自动计算栏。</x:v>
      </x:c>
      <x:c r="C26" s="195" t="str">
        <x:v>提供与确认顺序：ITOM 整理第 03 页通信条件，并在第 04/05 页测量和汇总 Azure PoC 流量 → 环境负责人填写第 02 页并审查第 03/04 页的适用性、差异与许可 → 约定时间后实施。浅灰色为填写栏，较深灰色为自动计算栏。</x:v>
      </x:c>
      <x:c r="D26" s="195" t="str">
        <x:v>提供与确认顺序：ITOM 整理第 03 页通信条件，并在第 04/05 页测量和汇总 Azure PoC 流量 → 环境负责人填写第 02 页并审查第 03/04 页的适用性、差异与许可 → 约定时间后实施。浅灰色为填写栏，较深灰色为自动计算栏。</x:v>
      </x:c>
      <x:c r="E26" s="195" t="str">
        <x:v>提供与确认顺序：ITOM 整理第 03 页通信条件，并在第 04/05 页测量和汇总 Azure PoC 流量 → 环境负责人填写第 02 页并审查第 03/04 页的适用性、差异与许可 → 约定时间后实施。浅灰色为填写栏，较深灰色为自动计算栏。</x:v>
      </x:c>
      <x:c r="F26" s="195" t="str">
        <x:v>提供与确认顺序：ITOM 整理第 03 页通信条件，并在第 04/05 页测量和汇总 Azure PoC 流量 → 环境负责人填写第 02 页并审查第 03/04 页的适用性、差异与许可 → 约定时间后实施。浅灰色为填写栏，较深灰色为自动计算栏。</x:v>
      </x:c>
      <x:c r="G26" s="195" t="str">
        <x:v>提供与确认顺序：ITOM 整理第 03 页通信条件，并在第 04/05 页测量和汇总 Azure PoC 流量 → 环境负责人填写第 02 页并审查第 03/04 页的适用性、差异与许可 → 约定时间后实施。浅灰色为填写栏，较深灰色为自动计算栏。</x:v>
      </x:c>
      <x:c r="H26" s="196" t="str">
        <x:v>提供与确认顺序：ITOM 整理第 03 页通信条件，并在第 04/05 页测量和汇总 Azure PoC 流量 → 环境负责人填写第 02 页并审查第 03/04 页的适用性、差异与许可 → 约定时间后实施。浅灰色为填写栏，较深灰色为自动计算栏。</x:v>
      </x:c>
    </x:row>
    <x:row r="27" ht="21" customHeight="1">
      <x:c r="A27" s="182"/>
      <x:c r="B27" s="183"/>
      <x:c r="C27" s="183"/>
      <x:c r="D27" s="183"/>
      <x:c r="E27" s="183"/>
      <x:c r="F27" s="183"/>
      <x:c r="G27" s="183"/>
      <x:c r="H27" s="184"/>
    </x:row>
    <x:row r="28" ht="25.5" customHeight="1">
      <x:c r="A28" s="185" t="str">
        <x:v>5. 给环境负责人的发送文案</x:v>
      </x:c>
      <x:c r="B28" s="186" t="str">
        <x:v>5. 给环境负责人的发送文案</x:v>
      </x:c>
      <x:c r="C28" s="186" t="str">
        <x:v>5. 给环境负责人的发送文案</x:v>
      </x:c>
      <x:c r="D28" s="186" t="str">
        <x:v>5. 给环境负责人的发送文案</x:v>
      </x:c>
      <x:c r="E28" s="186" t="str">
        <x:v>5. 给环境负责人的发送文案</x:v>
      </x:c>
      <x:c r="F28" s="186" t="str">
        <x:v>5. 给环境负责人的发送文案</x:v>
      </x:c>
      <x:c r="G28" s="186" t="str">
        <x:v>5. 给环境负责人的发送文案</x:v>
      </x:c>
      <x:c r="H28" s="187" t="str">
        <x:v>5. 给环境负责人的发送文案</x:v>
      </x:c>
    </x:row>
    <x:row r="29" ht="72" customHeight="1">
      <x:c r="A29" s="182" t="str">
        <x:v>为在 Housing、Hosting、据点 LAN 环境部署 MID Server 并开展 Discovery 验证，ITOM 实施方将提供通信要件及自有 Azure 单台 ACC PoC 的实测通信量。请确认第 02 页的部署条件、负责人和实施时间，并由网络/安全负责人审查第 03 页通信许可及第 04 页网络影响。请反馈本环境与 PoC 的配置差异、追加条件及申请手续。</x:v>
      </x:c>
      <x:c r="B29" s="183" t="str">
        <x:v>为在 Housing、Hosting、据点 LAN 环境部署 MID Server 并开展 Discovery 验证，ITOM 实施方将提供通信要件及自有 Azure 单台 ACC PoC 的实测通信量。请确认第 02 页的部署条件、负责人和实施时间，并由网络/安全负责人审查第 03 页通信许可及第 04 页网络影响。请反馈本环境与 PoC 的配置差异、追加条件及申请手续。</x:v>
      </x:c>
      <x:c r="C29" s="183" t="str">
        <x:v>为在 Housing、Hosting、据点 LAN 环境部署 MID Server 并开展 Discovery 验证，ITOM 实施方将提供通信要件及自有 Azure 单台 ACC PoC 的实测通信量。请确认第 02 页的部署条件、负责人和实施时间，并由网络/安全负责人审查第 03 页通信许可及第 04 页网络影响。请反馈本环境与 PoC 的配置差异、追加条件及申请手续。</x:v>
      </x:c>
      <x:c r="D29" s="183" t="str">
        <x:v>为在 Housing、Hosting、据点 LAN 环境部署 MID Server 并开展 Discovery 验证，ITOM 实施方将提供通信要件及自有 Azure 单台 ACC PoC 的实测通信量。请确认第 02 页的部署条件、负责人和实施时间，并由网络/安全负责人审查第 03 页通信许可及第 04 页网络影响。请反馈本环境与 PoC 的配置差异、追加条件及申请手续。</x:v>
      </x:c>
      <x:c r="E29" s="183" t="str">
        <x:v>为在 Housing、Hosting、据点 LAN 环境部署 MID Server 并开展 Discovery 验证，ITOM 实施方将提供通信要件及自有 Azure 单台 ACC PoC 的实测通信量。请确认第 02 页的部署条件、负责人和实施时间，并由网络/安全负责人审查第 03 页通信许可及第 04 页网络影响。请反馈本环境与 PoC 的配置差异、追加条件及申请手续。</x:v>
      </x:c>
      <x:c r="F29" s="183" t="str">
        <x:v>为在 Housing、Hosting、据点 LAN 环境部署 MID Server 并开展 Discovery 验证，ITOM 实施方将提供通信要件及自有 Azure 单台 ACC PoC 的实测通信量。请确认第 02 页的部署条件、负责人和实施时间，并由网络/安全负责人审查第 03 页通信许可及第 04 页网络影响。请反馈本环境与 PoC 的配置差异、追加条件及申请手续。</x:v>
      </x:c>
      <x:c r="G29" s="183" t="str">
        <x:v>为在 Housing、Hosting、据点 LAN 环境部署 MID Server 并开展 Discovery 验证，ITOM 实施方将提供通信要件及自有 Azure 单台 ACC PoC 的实测通信量。请确认第 02 页的部署条件、负责人和实施时间，并由网络/安全负责人审查第 03 页通信许可及第 04 页网络影响。请反馈本环境与 PoC 的配置差异、追加条件及申请手续。</x:v>
      </x:c>
      <x:c r="H29" s="184" t="str">
        <x:v>为在 Housing、Hosting、据点 LAN 环境部署 MID Server 并开展 Discovery 验证，ITOM 实施方将提供通信要件及自有 Azure 单台 ACC PoC 的实测通信量。请确认第 02 页的部署条件、负责人和实施时间，并由网络/安全负责人审查第 03 页通信许可及第 04 页网络影响。请反馈本环境与 PoC 的配置差异、追加条件及申请手续。</x:v>
      </x:c>
    </x:row>
    <x:row r="30" ht="21" customHeight="1">
      <x:c r="A30" s="182"/>
      <x:c r="B30" s="183"/>
      <x:c r="C30" s="183"/>
      <x:c r="D30" s="183"/>
      <x:c r="E30" s="183"/>
      <x:c r="F30" s="183"/>
      <x:c r="G30" s="183"/>
      <x:c r="H30" s="184"/>
    </x:row>
    <x:row r="31" ht="25.5" customHeight="1">
      <x:c r="A31" s="185" t="str">
        <x:v>6. 开始条件（取得共识后实施）</x:v>
      </x:c>
      <x:c r="B31" s="186" t="str">
        <x:v>6. 开始条件（取得共识后实施）</x:v>
      </x:c>
      <x:c r="C31" s="186" t="str">
        <x:v>6. 开始条件（取得共识后实施）</x:v>
      </x:c>
      <x:c r="D31" s="186" t="str">
        <x:v>6. 开始条件（取得共识后实施）</x:v>
      </x:c>
      <x:c r="E31" s="186" t="str">
        <x:v>6. 开始条件（取得共识后实施）</x:v>
      </x:c>
      <x:c r="F31" s="186" t="str">
        <x:v>6. 开始条件（取得共识后实施）</x:v>
      </x:c>
      <x:c r="G31" s="186" t="str">
        <x:v>6. 开始条件（取得共识后实施）</x:v>
      </x:c>
      <x:c r="H31" s="187" t="str">
        <x:v>6. 开始条件（取得共识后实施）</x:v>
      </x:c>
    </x:row>
    <x:row r="32" ht="58.5" customHeight="1">
      <x:c r="A32" s="191" t="str">
        <x:v>先就目标与排除范围、实施时间、采用的通信、必要权限、FW 变更、证据获取、停止条件和联系人达成共识。建议先对少量代表目标实施，确认性能、通信和数据获取结果后再扩大。少量开始是本资料的实施建议，不代表产品保证对目标没有影响。</x:v>
      </x:c>
      <x:c r="B32" s="192" t="str">
        <x:v>先就目标与排除范围、实施时间、采用的通信、必要权限、FW 变更、证据获取、停止条件和联系人达成共识。建议先对少量代表目标实施，确认性能、通信和数据获取结果后再扩大。少量开始是本资料的实施建议，不代表产品保证对目标没有影响。</x:v>
      </x:c>
      <x:c r="C32" s="192" t="str">
        <x:v>先就目标与排除范围、实施时间、采用的通信、必要权限、FW 变更、证据获取、停止条件和联系人达成共识。建议先对少量代表目标实施，确认性能、通信和数据获取结果后再扩大。少量开始是本资料的实施建议，不代表产品保证对目标没有影响。</x:v>
      </x:c>
      <x:c r="D32" s="192" t="str">
        <x:v>先就目标与排除范围、实施时间、采用的通信、必要权限、FW 变更、证据获取、停止条件和联系人达成共识。建议先对少量代表目标实施，确认性能、通信和数据获取结果后再扩大。少量开始是本资料的实施建议，不代表产品保证对目标没有影响。</x:v>
      </x:c>
      <x:c r="E32" s="192" t="str">
        <x:v>先就目标与排除范围、实施时间、采用的通信、必要权限、FW 变更、证据获取、停止条件和联系人达成共识。建议先对少量代表目标实施，确认性能、通信和数据获取结果后再扩大。少量开始是本资料的实施建议，不代表产品保证对目标没有影响。</x:v>
      </x:c>
      <x:c r="F32" s="192" t="str">
        <x:v>先就目标与排除范围、实施时间、采用的通信、必要权限、FW 变更、证据获取、停止条件和联系人达成共识。建议先对少量代表目标实施，确认性能、通信和数据获取结果后再扩大。少量开始是本资料的实施建议，不代表产品保证对目标没有影响。</x:v>
      </x:c>
      <x:c r="G32" s="192" t="str">
        <x:v>先就目标与排除范围、实施时间、采用的通信、必要权限、FW 变更、证据获取、停止条件和联系人达成共识。建议先对少量代表目标实施，确认性能、通信和数据获取结果后再扩大。少量开始是本资料的实施建议，不代表产品保证对目标没有影响。</x:v>
      </x:c>
      <x:c r="H32" s="193" t="str">
        <x:v>先就目标与排除范围、实施时间、采用的通信、必要权限、FW 变更、证据获取、停止条件和联系人达成共识。建议先对少量代表目标实施，确认性能、通信和数据获取结果后再扩大。少量开始是本资料的实施建议，不代表产品保证对目标没有影响。</x:v>
      </x:c>
    </x:row>
    <x:row r="33" ht="21" customHeight="1">
      <x:c r="A33" s="182"/>
      <x:c r="B33" s="183"/>
      <x:c r="C33" s="183"/>
      <x:c r="D33" s="183"/>
      <x:c r="E33" s="183"/>
      <x:c r="F33" s="183"/>
      <x:c r="G33" s="183"/>
      <x:c r="H33" s="184"/>
    </x:row>
    <x:row r="34" ht="25.5" customHeight="1">
      <x:c r="A34" s="185" t="str">
        <x:v>7. 依据与判断标识</x:v>
      </x:c>
      <x:c r="B34" s="186" t="str">
        <x:v>7. 依据与判断标识</x:v>
      </x:c>
      <x:c r="C34" s="186" t="str">
        <x:v>7. 依据与判断标识</x:v>
      </x:c>
      <x:c r="D34" s="186" t="str">
        <x:v>7. 依据与判断标识</x:v>
      </x:c>
      <x:c r="E34" s="186" t="str">
        <x:v>7. 依据与判断标识</x:v>
      </x:c>
      <x:c r="F34" s="186" t="str">
        <x:v>7. 依据与判断标识</x:v>
      </x:c>
      <x:c r="G34" s="186" t="str">
        <x:v>7. 依据与判断标识</x:v>
      </x:c>
      <x:c r="H34" s="187" t="str">
        <x:v>7. 依据与判断标识</x:v>
      </x:c>
    </x:row>
    <x:row r="35" ht="75" customHeight="1">
      <x:c r="A35" s="182" t="str">
        <x:v>[官方] 产品或平台文档。[实施方提供] PoC 配置、验证与实测结果。[建议] 测量/换算方法。[环境确认] 现场配置、影响与许可。当前链路完成情况来自实施方说明；实测数值待提供。本次核对 S03、S11、S18；其他来源沿用原版。客户版本与实际值应逐项对照，不能把官方默认值当作客户实值。</x:v>
      </x:c>
      <x:c r="B35" s="183" t="str">
        <x:v>[官方] 产品或平台文档。[实施方提供] PoC 配置、验证与实测结果。[建议] 测量/换算方法。[环境确认] 现场配置、影响与许可。当前链路完成情况来自实施方说明；实测数值待提供。本次核对 S03、S11、S18；其他来源沿用原版。客户版本与实际值应逐项对照，不能把官方默认值当作客户实值。</x:v>
      </x:c>
      <x:c r="C35" s="183" t="str">
        <x:v>[官方] 产品或平台文档。[实施方提供] PoC 配置、验证与实测结果。[建议] 测量/换算方法。[环境确认] 现场配置、影响与许可。当前链路完成情况来自实施方说明；实测数值待提供。本次核对 S03、S11、S18；其他来源沿用原版。客户版本与实际值应逐项对照，不能把官方默认值当作客户实值。</x:v>
      </x:c>
      <x:c r="D35" s="183" t="str">
        <x:v>[官方] 产品或平台文档。[实施方提供] PoC 配置、验证与实测结果。[建议] 测量/换算方法。[环境确认] 现场配置、影响与许可。当前链路完成情况来自实施方说明；实测数值待提供。本次核对 S03、S11、S18；其他来源沿用原版。客户版本与实际值应逐项对照，不能把官方默认值当作客户实值。</x:v>
      </x:c>
      <x:c r="E35" s="183" t="str">
        <x:v>[官方] 产品或平台文档。[实施方提供] PoC 配置、验证与实测结果。[建议] 测量/换算方法。[环境确认] 现场配置、影响与许可。当前链路完成情况来自实施方说明；实测数值待提供。本次核对 S03、S11、S18；其他来源沿用原版。客户版本与实际值应逐项对照，不能把官方默认值当作客户实值。</x:v>
      </x:c>
      <x:c r="F35" s="183" t="str">
        <x:v>[官方] 产品或平台文档。[实施方提供] PoC 配置、验证与实测结果。[建议] 测量/换算方法。[环境确认] 现场配置、影响与许可。当前链路完成情况来自实施方说明；实测数值待提供。本次核对 S03、S11、S18；其他来源沿用原版。客户版本与实际值应逐项对照，不能把官方默认值当作客户实值。</x:v>
      </x:c>
      <x:c r="G35" s="183" t="str">
        <x:v>[官方] 产品或平台文档。[实施方提供] PoC 配置、验证与实测结果。[建议] 测量/换算方法。[环境确认] 现场配置、影响与许可。当前链路完成情况来自实施方说明；实测数值待提供。本次核对 S03、S11、S18；其他来源沿用原版。客户版本与实际值应逐项对照，不能把官方默认值当作客户实值。</x:v>
      </x:c>
      <x:c r="H35" s="184" t="str">
        <x:v>[官方] 产品或平台文档。[实施方提供] PoC 配置、验证与实测结果。[建议] 测量/换算方法。[环境确认] 现场配置、影响与许可。当前链路完成情况来自实施方说明；实测数值待提供。本次核对 S03、S11、S18；其他来源沿用原版。客户版本与实际值应逐项对照，不能把官方默认值当作客户实值。</x:v>
      </x:c>
    </x:row>
    <x:row r="36" ht="21" customHeight="1">
      <x:c r="A36" s="182"/>
      <x:c r="B36" s="183"/>
      <x:c r="C36" s="183"/>
      <x:c r="D36" s="183"/>
      <x:c r="E36" s="183"/>
      <x:c r="F36" s="183"/>
      <x:c r="G36" s="183"/>
      <x:c r="H36" s="184"/>
    </x:row>
    <x:row r="37" ht="30" customHeight="1">
      <x:c r="A37" s="188" t="str">
        <x:v>来源 ID</x:v>
      </x:c>
      <x:c r="B37" s="189" t="str">
        <x:v>文档名称</x:v>
      </x:c>
      <x:c r="C37" s="189" t="str">
        <x:v>文档名称</x:v>
      </x:c>
      <x:c r="D37" s="189" t="str">
        <x:v>参照版本 / 更新</x:v>
      </x:c>
      <x:c r="E37" s="189" t="str">
        <x:v>参照版本 / 更新</x:v>
      </x:c>
      <x:c r="F37" s="189" t="str">
        <x:v>官方 URL</x:v>
      </x:c>
      <x:c r="G37" s="189" t="str">
        <x:v>官方 URL</x:v>
      </x:c>
      <x:c r="H37" s="190" t="str">
        <x:v>官方 URL</x:v>
      </x:c>
    </x:row>
    <x:row r="38" ht="75" customHeight="1">
      <x:c r="A38" s="182" t="str">
        <x:v>S01</x:v>
      </x:c>
      <x:c r="B38" s="183" t="str">
        <x:v>MID Server 网络连接前提</x:v>
      </x:c>
      <x:c r="C38" s="183" t="str">
        <x:v>MID Server 网络连接前提</x:v>
      </x:c>
      <x:c r="D38" s="183" t="str">
        <x:v>Brazil / 2026-09-10</x:v>
      </x:c>
      <x:c r="E38" s="183" t="str">
        <x:v>Brazil / 2026-09-10</x:v>
      </x:c>
      <x:c r="F38" s="180" t="str">
        <x:v>https://www.servicenow.com/docs/r/servicenow-platform/mid-server/c_MIDServerConnectionPrerequisites.html</x:v>
      </x:c>
      <x:c r="G38" s="180" t="str">
        <x:v>https://www.servicenow.com/docs/r/servicenow-platform/mid-server/c_MIDServerConnectionPrerequisites.html</x:v>
      </x:c>
      <x:c r="H38" s="181" t="str">
        <x:v>https://www.servicenow.com/docs/r/servicenow-platform/mid-server/c_MIDServerConnectionPrerequisites.html</x:v>
      </x:c>
    </x:row>
    <x:row r="39" ht="33.75" customHeight="1">
      <x:c r="A39" s="182"/>
      <x:c r="B39" s="197" t="str">
        <x:v>ServiceNow / 官方文档 / 原阅览日：2026-10-01　依据：MID→Instance 使用 TCP 443；更新下载目的地；基本通信不要求 SaaS 主动连接 MID。</x:v>
      </x:c>
      <x:c r="C39" s="197" t="str">
        <x:v>ServiceNow / 官方文档 / 原阅览日：2026-10-01　依据：MID→Instance 使用 TCP 443；更新下载目的地；基本通信不要求 SaaS 主动连接 MID。</x:v>
      </x:c>
      <x:c r="D39" s="197" t="str">
        <x:v>ServiceNow / 官方文档 / 原阅览日：2026-10-01　依据：MID→Instance 使用 TCP 443；更新下载目的地；基本通信不要求 SaaS 主动连接 MID。</x:v>
      </x:c>
      <x:c r="E39" s="197" t="str">
        <x:v>ServiceNow / 官方文档 / 原阅览日：2026-10-01　依据：MID→Instance 使用 TCP 443；更新下载目的地；基本通信不要求 SaaS 主动连接 MID。</x:v>
      </x:c>
      <x:c r="F39" s="197" t="str">
        <x:v>ServiceNow / 官方文档 / 原阅览日：2026-10-01　依据：MID→Instance 使用 TCP 443；更新下载目的地；基本通信不要求 SaaS 主动连接 MID。</x:v>
      </x:c>
      <x:c r="G39" s="197" t="str">
        <x:v>ServiceNow / 官方文档 / 原阅览日：2026-10-01　依据：MID→Instance 使用 TCP 443；更新下载目的地；基本通信不要求 SaaS 主动连接 MID。</x:v>
      </x:c>
      <x:c r="H39" s="198" t="str">
        <x:v>ServiceNow / 官方文档 / 原阅览日：2026-10-01　依据：MID→Instance 使用 TCP 443；更新下载目的地；基本通信不要求 SaaS 主动连接 MID。</x:v>
      </x:c>
    </x:row>
    <x:row r="40" ht="75" customHeight="1">
      <x:c r="A40" s="182" t="str">
        <x:v>S02</x:v>
      </x:c>
      <x:c r="B40" s="183" t="str">
        <x:v>MID Server 系统要求</x:v>
      </x:c>
      <x:c r="C40" s="183" t="str">
        <x:v>MID Server 系统要求</x:v>
      </x:c>
      <x:c r="D40" s="183" t="str">
        <x:v>Brazil / 2026-09-10</x:v>
      </x:c>
      <x:c r="E40" s="183" t="str">
        <x:v>Brazil / 2026-09-10</x:v>
      </x:c>
      <x:c r="F40" s="180" t="str">
        <x:v>https://www.servicenow.com/docs/r/servicenow-platform/mid-server/r_MIDServerSystemRequirements.html</x:v>
      </x:c>
      <x:c r="G40" s="180" t="str">
        <x:v>https://www.servicenow.com/docs/r/servicenow-platform/mid-server/r_MIDServerSystemRequirements.html</x:v>
      </x:c>
      <x:c r="H40" s="181" t="str">
        <x:v>https://www.servicenow.com/docs/r/servicenow-platform/mid-server/r_MIDServerSystemRequirements.html</x:v>
      </x:c>
    </x:row>
    <x:row r="41" ht="33.75" customHeight="1">
      <x:c r="A41" s="182"/>
      <x:c r="B41" s="197" t="str">
        <x:v>ServiceNow / 官方文档 / 原阅览日：2026-10-01　依据：根据规模、并行任务和功能确定规格，并核对客户版本支持的操作系统。</x:v>
      </x:c>
      <x:c r="C41" s="197" t="str">
        <x:v>ServiceNow / 官方文档 / 原阅览日：2026-10-01　依据：根据规模、并行任务和功能确定规格，并核对客户版本支持的操作系统。</x:v>
      </x:c>
      <x:c r="D41" s="197" t="str">
        <x:v>ServiceNow / 官方文档 / 原阅览日：2026-10-01　依据：根据规模、并行任务和功能确定规格，并核对客户版本支持的操作系统。</x:v>
      </x:c>
      <x:c r="E41" s="197" t="str">
        <x:v>ServiceNow / 官方文档 / 原阅览日：2026-10-01　依据：根据规模、并行任务和功能确定规格，并核对客户版本支持的操作系统。</x:v>
      </x:c>
      <x:c r="F41" s="197" t="str">
        <x:v>ServiceNow / 官方文档 / 原阅览日：2026-10-01　依据：根据规模、并行任务和功能确定规格，并核对客户版本支持的操作系统。</x:v>
      </x:c>
      <x:c r="G41" s="197" t="str">
        <x:v>ServiceNow / 官方文档 / 原阅览日：2026-10-01　依据：根据规模、并行任务和功能确定规格，并核对客户版本支持的操作系统。</x:v>
      </x:c>
      <x:c r="H41" s="198" t="str">
        <x:v>ServiceNow / 官方文档 / 原阅览日：2026-10-01　依据：根据规模、并行任务和功能确定规格，并核对客户版本支持的操作系统。</x:v>
      </x:c>
    </x:row>
    <x:row r="42" ht="75" customHeight="1">
      <x:c r="A42" s="182" t="str">
        <x:v>S03</x:v>
      </x:c>
      <x:c r="B42" s="183" t="str">
        <x:v>ACC Listener 配置</x:v>
      </x:c>
      <x:c r="C42" s="183" t="str">
        <x:v>ACC Listener 配置</x:v>
      </x:c>
      <x:c r="D42" s="183" t="str">
        <x:v>Brazil / 更新 2026-09-10
本次核对 2026-10-01</x:v>
      </x:c>
      <x:c r="E42" s="183" t="str">
        <x:v>Brazil / 更新 2026-09-10
本次核对 2026-10-01</x:v>
      </x:c>
      <x:c r="F42" s="180" t="str">
        <x:v>https://www.servicenow.com/docs/r/it-operations-management/agent-client-collector/acc-configure-web-server.html</x:v>
      </x:c>
      <x:c r="G42" s="180" t="str">
        <x:v>https://www.servicenow.com/docs/r/it-operations-management/agent-client-collector/acc-configure-web-server.html</x:v>
      </x:c>
      <x:c r="H42" s="181" t="str">
        <x:v>https://www.servicenow.com/docs/r/it-operations-management/agent-client-collector/acc-configure-web-server.html</x:v>
      </x:c>
    </x:row>
    <x:row r="43" ht="33.75" customHeight="1">
      <x:c r="A43" s="182"/>
      <x:c r="B43" s="197" t="str">
        <x:v>ServiceNow / 官方文档 / 原阅览日：2026-10-01　依据：Setup ACC Listener、默认 8800（可更改）以及 WSS endpoint。</x:v>
      </x:c>
      <x:c r="C43" s="197" t="str">
        <x:v>ServiceNow / 官方文档 / 原阅览日：2026-10-01　依据：Setup ACC Listener、默认 8800（可更改）以及 WSS endpoint。</x:v>
      </x:c>
      <x:c r="D43" s="197" t="str">
        <x:v>ServiceNow / 官方文档 / 原阅览日：2026-10-01　依据：Setup ACC Listener、默认 8800（可更改）以及 WSS endpoint。</x:v>
      </x:c>
      <x:c r="E43" s="197" t="str">
        <x:v>ServiceNow / 官方文档 / 原阅览日：2026-10-01　依据：Setup ACC Listener、默认 8800（可更改）以及 WSS endpoint。</x:v>
      </x:c>
      <x:c r="F43" s="197" t="str">
        <x:v>ServiceNow / 官方文档 / 原阅览日：2026-10-01　依据：Setup ACC Listener、默认 8800（可更改）以及 WSS endpoint。</x:v>
      </x:c>
      <x:c r="G43" s="197" t="str">
        <x:v>ServiceNow / 官方文档 / 原阅览日：2026-10-01　依据：Setup ACC Listener、默认 8800（可更改）以及 WSS endpoint。</x:v>
      </x:c>
      <x:c r="H43" s="198" t="str">
        <x:v>ServiceNow / 官方文档 / 原阅览日：2026-10-01　依据：Setup ACC Listener、默认 8800（可更改）以及 WSS endpoint。</x:v>
      </x:c>
    </x:row>
    <x:row r="44" ht="75" customHeight="1">
      <x:c r="A44" s="182" t="str">
        <x:v>S04</x:v>
      </x:c>
      <x:c r="B44" s="183" t="str">
        <x:v>Discovery 端口与协议</x:v>
      </x:c>
      <x:c r="C44" s="183" t="str">
        <x:v>Discovery 端口与协议</x:v>
      </x:c>
      <x:c r="D44" s="183" t="str">
        <x:v>Brazil / 2026-09-10</x:v>
      </x:c>
      <x:c r="E44" s="183" t="str">
        <x:v>Brazil / 2026-09-10</x:v>
      </x:c>
      <x:c r="F44" s="180" t="str">
        <x:v>https://www.servicenow.com/docs/r/it-operations-management/discovery/r_DiscoveryPortsAndProtocols.html</x:v>
      </x:c>
      <x:c r="G44" s="180" t="str">
        <x:v>https://www.servicenow.com/docs/r/it-operations-management/discovery/r_DiscoveryPortsAndProtocols.html</x:v>
      </x:c>
      <x:c r="H44" s="181" t="str">
        <x:v>https://www.servicenow.com/docs/r/it-operations-management/discovery/r_DiscoveryPortsAndProtocols.html</x:v>
      </x:c>
    </x:row>
    <x:row r="45" ht="33.75" customHeight="1">
      <x:c r="A45" s="182"/>
      <x:c r="B45" s="197" t="str">
        <x:v>ServiceNow / 官方文档 / 原阅览日：2026-10-01　依据：Shazzam、WMI、SSH、SNMP 等通信；并非所有端口在每个环境均必需。</x:v>
      </x:c>
      <x:c r="C45" s="197" t="str">
        <x:v>ServiceNow / 官方文档 / 原阅览日：2026-10-01　依据：Shazzam、WMI、SSH、SNMP 等通信；并非所有端口在每个环境均必需。</x:v>
      </x:c>
      <x:c r="D45" s="197" t="str">
        <x:v>ServiceNow / 官方文档 / 原阅览日：2026-10-01　依据：Shazzam、WMI、SSH、SNMP 等通信；并非所有端口在每个环境均必需。</x:v>
      </x:c>
      <x:c r="E45" s="197" t="str">
        <x:v>ServiceNow / 官方文档 / 原阅览日：2026-10-01　依据：Shazzam、WMI、SSH、SNMP 等通信；并非所有端口在每个环境均必需。</x:v>
      </x:c>
      <x:c r="F45" s="197" t="str">
        <x:v>ServiceNow / 官方文档 / 原阅览日：2026-10-01　依据：Shazzam、WMI、SSH、SNMP 等通信；并非所有端口在每个环境均必需。</x:v>
      </x:c>
      <x:c r="G45" s="197" t="str">
        <x:v>ServiceNow / 官方文档 / 原阅览日：2026-10-01　依据：Shazzam、WMI、SSH、SNMP 等通信；并非所有端口在每个环境均必需。</x:v>
      </x:c>
      <x:c r="H45" s="198" t="str">
        <x:v>ServiceNow / 官方文档 / 原阅览日：2026-10-01　依据：Shazzam、WMI、SSH、SNMP 等通信；并非所有端口在每个环境均必需。</x:v>
      </x:c>
    </x:row>
    <x:row r="46" ht="75" customHeight="1">
      <x:c r="A46" s="182" t="str">
        <x:v>S05</x:v>
      </x:c>
      <x:c r="B46" s="183" t="str">
        <x:v>通过 WinRM 进行 Windows 分类</x:v>
      </x:c>
      <x:c r="C46" s="183" t="str">
        <x:v>通过 WinRM 进行 Windows 分类</x:v>
      </x:c>
      <x:c r="D46" s="183" t="str">
        <x:v>Australia / 2026-03-12</x:v>
      </x:c>
      <x:c r="E46" s="183" t="str">
        <x:v>Australia / 2026-03-12</x:v>
      </x:c>
      <x:c r="F46" s="180" t="str">
        <x:v>https://www.servicenow.com/docs/r/it-operations-management/discovery/t_EnableDeviceClassWinRemoteMgmt.html?contentId=_Le7QdZAnc_uqequKrhY0w</x:v>
      </x:c>
      <x:c r="G46" s="180" t="str">
        <x:v>https://www.servicenow.com/docs/r/it-operations-management/discovery/t_EnableDeviceClassWinRemoteMgmt.html?contentId=_Le7QdZAnc_uqequKrhY0w</x:v>
      </x:c>
      <x:c r="H46" s="181" t="str">
        <x:v>https://www.servicenow.com/docs/r/it-operations-management/discovery/t_EnableDeviceClassWinRemoteMgmt.html?contentId=_Le7QdZAnc_uqequKrhY0w</x:v>
      </x:c>
    </x:row>
    <x:row r="47" ht="33.75" customHeight="1">
      <x:c r="A47" s="182"/>
      <x:c r="B47" s="197" t="str">
        <x:v>ServiceNow / 官方文档 / 原阅览日：2026-10-01　依据：从默认 WMI 切换为 WinRM 时的 MID 参数与前提条件。</x:v>
      </x:c>
      <x:c r="C47" s="197" t="str">
        <x:v>ServiceNow / 官方文档 / 原阅览日：2026-10-01　依据：从默认 WMI 切换为 WinRM 时的 MID 参数与前提条件。</x:v>
      </x:c>
      <x:c r="D47" s="197" t="str">
        <x:v>ServiceNow / 官方文档 / 原阅览日：2026-10-01　依据：从默认 WMI 切换为 WinRM 时的 MID 参数与前提条件。</x:v>
      </x:c>
      <x:c r="E47" s="197" t="str">
        <x:v>ServiceNow / 官方文档 / 原阅览日：2026-10-01　依据：从默认 WMI 切换为 WinRM 时的 MID 参数与前提条件。</x:v>
      </x:c>
      <x:c r="F47" s="197" t="str">
        <x:v>ServiceNow / 官方文档 / 原阅览日：2026-10-01　依据：从默认 WMI 切换为 WinRM 时的 MID 参数与前提条件。</x:v>
      </x:c>
      <x:c r="G47" s="197" t="str">
        <x:v>ServiceNow / 官方文档 / 原阅览日：2026-10-01　依据：从默认 WMI 切换为 WinRM 时的 MID 参数与前提条件。</x:v>
      </x:c>
      <x:c r="H47" s="198" t="str">
        <x:v>ServiceNow / 官方文档 / 原阅览日：2026-10-01　依据：从默认 WMI 切换为 WinRM 时的 MID 参数与前提条件。</x:v>
      </x:c>
    </x:row>
    <x:row r="48" ht="75" customHeight="1">
      <x:c r="A48" s="182" t="str">
        <x:v>S06</x:v>
      </x:c>
      <x:c r="B48" s="183" t="str">
        <x:v>MID Server 参数</x:v>
      </x:c>
      <x:c r="C48" s="183" t="str">
        <x:v>MID Server 参数</x:v>
      </x:c>
      <x:c r="D48" s="183" t="str">
        <x:v>/r/ 原阅览时所示版本</x:v>
      </x:c>
      <x:c r="E48" s="183" t="str">
        <x:v>/r/ 原阅览时所示版本</x:v>
      </x:c>
      <x:c r="F48" s="180" t="str">
        <x:v>https://www.servicenow.com/docs/r/servicenow-platform/mid-server/mid-server-parameters.html</x:v>
      </x:c>
      <x:c r="G48" s="180" t="str">
        <x:v>https://www.servicenow.com/docs/r/servicenow-platform/mid-server/mid-server-parameters.html</x:v>
      </x:c>
      <x:c r="H48" s="181" t="str">
        <x:v>https://www.servicenow.com/docs/r/servicenow-platform/mid-server/mid-server-parameters.html</x:v>
      </x:c>
    </x:row>
    <x:row r="49" ht="33.75" customHeight="1">
      <x:c r="A49" s="182"/>
      <x:c r="B49" s="197" t="str">
        <x:v>ServiceNow / 官方文档 / 原阅览日：2026-10-01　依据：WinRM HTTP/HTTPS 端口、SSL、Proxy 等实际配置。</x:v>
      </x:c>
      <x:c r="C49" s="197" t="str">
        <x:v>ServiceNow / 官方文档 / 原阅览日：2026-10-01　依据：WinRM HTTP/HTTPS 端口、SSL、Proxy 等实际配置。</x:v>
      </x:c>
      <x:c r="D49" s="197" t="str">
        <x:v>ServiceNow / 官方文档 / 原阅览日：2026-10-01　依据：WinRM HTTP/HTTPS 端口、SSL、Proxy 等实际配置。</x:v>
      </x:c>
      <x:c r="E49" s="197" t="str">
        <x:v>ServiceNow / 官方文档 / 原阅览日：2026-10-01　依据：WinRM HTTP/HTTPS 端口、SSL、Proxy 等实际配置。</x:v>
      </x:c>
      <x:c r="F49" s="197" t="str">
        <x:v>ServiceNow / 官方文档 / 原阅览日：2026-10-01　依据：WinRM HTTP/HTTPS 端口、SSL、Proxy 等实际配置。</x:v>
      </x:c>
      <x:c r="G49" s="197" t="str">
        <x:v>ServiceNow / 官方文档 / 原阅览日：2026-10-01　依据：WinRM HTTP/HTTPS 端口、SSL、Proxy 等实际配置。</x:v>
      </x:c>
      <x:c r="H49" s="198" t="str">
        <x:v>ServiceNow / 官方文档 / 原阅览日：2026-10-01　依据：WinRM HTTP/HTTPS 端口、SSL、Proxy 等实际配置。</x:v>
      </x:c>
    </x:row>
    <x:row r="50" ht="75" customHeight="1">
      <x:c r="A50" s="182" t="str">
        <x:v>S07</x:v>
      </x:c>
      <x:c r="B50" s="183" t="str">
        <x:v>主机 Discovery 认证信息</x:v>
      </x:c>
      <x:c r="C50" s="183" t="str">
        <x:v>主机 Discovery 认证信息</x:v>
      </x:c>
      <x:c r="D50" s="183" t="str">
        <x:v>Brazil / 2026-09-10</x:v>
      </x:c>
      <x:c r="E50" s="183" t="str">
        <x:v>Brazil / 2026-09-10</x:v>
      </x:c>
      <x:c r="F50" s="180" t="str">
        <x:v>https://www.servicenow.com/docs/r/it-operations-management/service-mapping/r_Credentials4HostDiscovery.html</x:v>
      </x:c>
      <x:c r="G50" s="180" t="str">
        <x:v>https://www.servicenow.com/docs/r/it-operations-management/service-mapping/r_Credentials4HostDiscovery.html</x:v>
      </x:c>
      <x:c r="H50" s="181" t="str">
        <x:v>https://www.servicenow.com/docs/r/it-operations-management/service-mapping/r_Credentials4HostDiscovery.html</x:v>
      </x:c>
    </x:row>
    <x:row r="51" ht="33.75" customHeight="1">
      <x:c r="A51" s="182"/>
      <x:c r="B51" s="197" t="str">
        <x:v>ServiceNow / 官方文档 / 原阅览日：2026-10-01　依据：Windows 权限、Linux sudo 等；按目标 OS 和用途设计认证。</x:v>
      </x:c>
      <x:c r="C51" s="197" t="str">
        <x:v>ServiceNow / 官方文档 / 原阅览日：2026-10-01　依据：Windows 权限、Linux sudo 等；按目标 OS 和用途设计认证。</x:v>
      </x:c>
      <x:c r="D51" s="197" t="str">
        <x:v>ServiceNow / 官方文档 / 原阅览日：2026-10-01　依据：Windows 权限、Linux sudo 等；按目标 OS 和用途设计认证。</x:v>
      </x:c>
      <x:c r="E51" s="197" t="str">
        <x:v>ServiceNow / 官方文档 / 原阅览日：2026-10-01　依据：Windows 权限、Linux sudo 等；按目标 OS 和用途设计认证。</x:v>
      </x:c>
      <x:c r="F51" s="197" t="str">
        <x:v>ServiceNow / 官方文档 / 原阅览日：2026-10-01　依据：Windows 权限、Linux sudo 等；按目标 OS 和用途设计认证。</x:v>
      </x:c>
      <x:c r="G51" s="197" t="str">
        <x:v>ServiceNow / 官方文档 / 原阅览日：2026-10-01　依据：Windows 权限、Linux sudo 等；按目标 OS 和用途设计认证。</x:v>
      </x:c>
      <x:c r="H51" s="198" t="str">
        <x:v>ServiceNow / 官方文档 / 原阅览日：2026-10-01　依据：Windows 权限、Linux sudo 等；按目标 OS 和用途设计认证。</x:v>
      </x:c>
    </x:row>
    <x:row r="52" ht="75" customHeight="1">
      <x:c r="A52" s="182" t="str">
        <x:v>S08</x:v>
      </x:c>
      <x:c r="B52" s="183" t="str">
        <x:v>Windows MID 安装前提</x:v>
      </x:c>
      <x:c r="C52" s="183" t="str">
        <x:v>Windows MID 安装前提</x:v>
      </x:c>
      <x:c r="D52" s="183" t="str">
        <x:v>Brazil / 2026-09-10</x:v>
      </x:c>
      <x:c r="E52" s="183" t="str">
        <x:v>Brazil / 2026-09-10</x:v>
      </x:c>
      <x:c r="F52" s="180" t="str">
        <x:v>https://www.servicenow.com/docs/r/servicenow-platform/mid-server/mid-server-install-prereqs.html</x:v>
      </x:c>
      <x:c r="G52" s="180" t="str">
        <x:v>https://www.servicenow.com/docs/r/servicenow-platform/mid-server/mid-server-install-prereqs.html</x:v>
      </x:c>
      <x:c r="H52" s="181" t="str">
        <x:v>https://www.servicenow.com/docs/r/servicenow-platform/mid-server/mid-server-install-prereqs.html</x:v>
      </x:c>
    </x:row>
    <x:row r="53" ht="33.75" customHeight="1">
      <x:c r="A53" s="182"/>
      <x:c r="B53" s="197" t="str">
        <x:v>ServiceNow / 官方文档 / 原阅览日：2026-10-01　依据：MID 连接用户、通信与 Proxy、证书吊销状态验证等前提。</x:v>
      </x:c>
      <x:c r="C53" s="197" t="str">
        <x:v>ServiceNow / 官方文档 / 原阅览日：2026-10-01　依据：MID 连接用户、通信与 Proxy、证书吊销状态验证等前提。</x:v>
      </x:c>
      <x:c r="D53" s="197" t="str">
        <x:v>ServiceNow / 官方文档 / 原阅览日：2026-10-01　依据：MID 连接用户、通信与 Proxy、证书吊销状态验证等前提。</x:v>
      </x:c>
      <x:c r="E53" s="197" t="str">
        <x:v>ServiceNow / 官方文档 / 原阅览日：2026-10-01　依据：MID 连接用户、通信与 Proxy、证书吊销状态验证等前提。</x:v>
      </x:c>
      <x:c r="F53" s="197" t="str">
        <x:v>ServiceNow / 官方文档 / 原阅览日：2026-10-01　依据：MID 连接用户、通信与 Proxy、证书吊销状态验证等前提。</x:v>
      </x:c>
      <x:c r="G53" s="197" t="str">
        <x:v>ServiceNow / 官方文档 / 原阅览日：2026-10-01　依据：MID 连接用户、通信与 Proxy、证书吊销状态验证等前提。</x:v>
      </x:c>
      <x:c r="H53" s="198" t="str">
        <x:v>ServiceNow / 官方文档 / 原阅览日：2026-10-01　依据：MID 连接用户、通信与 Proxy、证书吊销状态验证等前提。</x:v>
      </x:c>
    </x:row>
    <x:row r="54" ht="75" customHeight="1">
      <x:c r="A54" s="182" t="str">
        <x:v>S09</x:v>
      </x:c>
      <x:c r="B54" s="183" t="str">
        <x:v>Windows 服务与网络端口</x:v>
      </x:c>
      <x:c r="C54" s="183" t="str">
        <x:v>Windows 服务与网络端口</x:v>
      </x:c>
      <x:c r="D54" s="183" t="str">
        <x:v>在线文档 / 按原阅览日</x:v>
      </x:c>
      <x:c r="E54" s="183" t="str">
        <x:v>在线文档 / 按原阅览日</x:v>
      </x:c>
      <x:c r="F54" s="180" t="str">
        <x:v>https://learn.microsoft.com/en-us/troubleshoot/windows-server/networking/service-overview-and-network-port-requirements</x:v>
      </x:c>
      <x:c r="G54" s="180" t="str">
        <x:v>https://learn.microsoft.com/en-us/troubleshoot/windows-server/networking/service-overview-and-network-port-requirements</x:v>
      </x:c>
      <x:c r="H54" s="181" t="str">
        <x:v>https://learn.microsoft.com/en-us/troubleshoot/windows-server/networking/service-overview-and-network-port-requirements</x:v>
      </x:c>
    </x:row>
    <x:row r="55" ht="33.75" customHeight="1">
      <x:c r="A55" s="182"/>
      <x:c r="B55" s="197" t="str">
        <x:v>Microsoft / 官方文档 / 原阅览日：2026-10-01　依据：DNS UDP/TCP 53、AD/RPC 等，按实际采用的功能判断。</x:v>
      </x:c>
      <x:c r="C55" s="197" t="str">
        <x:v>Microsoft / 官方文档 / 原阅览日：2026-10-01　依据：DNS UDP/TCP 53、AD/RPC 等，按实际采用的功能判断。</x:v>
      </x:c>
      <x:c r="D55" s="197" t="str">
        <x:v>Microsoft / 官方文档 / 原阅览日：2026-10-01　依据：DNS UDP/TCP 53、AD/RPC 等，按实际采用的功能判断。</x:v>
      </x:c>
      <x:c r="E55" s="197" t="str">
        <x:v>Microsoft / 官方文档 / 原阅览日：2026-10-01　依据：DNS UDP/TCP 53、AD/RPC 等，按实际采用的功能判断。</x:v>
      </x:c>
      <x:c r="F55" s="197" t="str">
        <x:v>Microsoft / 官方文档 / 原阅览日：2026-10-01　依据：DNS UDP/TCP 53、AD/RPC 等，按实际采用的功能判断。</x:v>
      </x:c>
      <x:c r="G55" s="197" t="str">
        <x:v>Microsoft / 官方文档 / 原阅览日：2026-10-01　依据：DNS UDP/TCP 53、AD/RPC 等，按实际采用的功能判断。</x:v>
      </x:c>
      <x:c r="H55" s="198" t="str">
        <x:v>Microsoft / 官方文档 / 原阅览日：2026-10-01　依据：DNS UDP/TCP 53、AD/RPC 等，按实际采用的功能判断。</x:v>
      </x:c>
    </x:row>
    <x:row r="56" ht="75" customHeight="1">
      <x:c r="A56" s="182" t="str">
        <x:v>S10</x:v>
      </x:c>
      <x:c r="B56" s="183" t="str">
        <x:v>远程 WMI 连接</x:v>
      </x:c>
      <x:c r="C56" s="183" t="str">
        <x:v>远程 WMI 连接</x:v>
      </x:c>
      <x:c r="D56" s="183" t="str">
        <x:v>在线文档 / 按原阅览日</x:v>
      </x:c>
      <x:c r="E56" s="183" t="str">
        <x:v>在线文档 / 按原阅览日</x:v>
      </x:c>
      <x:c r="F56" s="180" t="str">
        <x:v>https://learn.microsoft.com/en-us/windows/win32/wmisdk/connecting-to-wmi-remotely-starting-with-vista</x:v>
      </x:c>
      <x:c r="G56" s="180" t="str">
        <x:v>https://learn.microsoft.com/en-us/windows/win32/wmisdk/connecting-to-wmi-remotely-starting-with-vista</x:v>
      </x:c>
      <x:c r="H56" s="181" t="str">
        <x:v>https://learn.microsoft.com/en-us/windows/win32/wmisdk/connecting-to-wmi-remotely-starting-with-vista</x:v>
      </x:c>
    </x:row>
    <x:row r="57" ht="33.75" customHeight="1">
      <x:c r="A57" s="182"/>
      <x:c r="B57" s="197" t="str">
        <x:v>Microsoft / 官方文档 / 原阅览日：2026-10-01　依据：DCOM/RPC 与 WMI 的 Firewall 配置；注意 RPC 动态端口。</x:v>
      </x:c>
      <x:c r="C57" s="197" t="str">
        <x:v>Microsoft / 官方文档 / 原阅览日：2026-10-01　依据：DCOM/RPC 与 WMI 的 Firewall 配置；注意 RPC 动态端口。</x:v>
      </x:c>
      <x:c r="D57" s="197" t="str">
        <x:v>Microsoft / 官方文档 / 原阅览日：2026-10-01　依据：DCOM/RPC 与 WMI 的 Firewall 配置；注意 RPC 动态端口。</x:v>
      </x:c>
      <x:c r="E57" s="197" t="str">
        <x:v>Microsoft / 官方文档 / 原阅览日：2026-10-01　依据：DCOM/RPC 与 WMI 的 Firewall 配置；注意 RPC 动态端口。</x:v>
      </x:c>
      <x:c r="F57" s="197" t="str">
        <x:v>Microsoft / 官方文档 / 原阅览日：2026-10-01　依据：DCOM/RPC 与 WMI 的 Firewall 配置；注意 RPC 动态端口。</x:v>
      </x:c>
      <x:c r="G57" s="197" t="str">
        <x:v>Microsoft / 官方文档 / 原阅览日：2026-10-01　依据：DCOM/RPC 与 WMI 的 Firewall 配置；注意 RPC 动态端口。</x:v>
      </x:c>
      <x:c r="H57" s="198" t="str">
        <x:v>Microsoft / 官方文档 / 原阅览日：2026-10-01　依据：DCOM/RPC 与 WMI 的 Firewall 配置；注意 RPC 动态端口。</x:v>
      </x:c>
    </x:row>
    <x:row r="58" ht="75" customHeight="1">
      <x:c r="A58" s="182" t="str">
        <x:v>S11</x:v>
      </x:c>
      <x:c r="B58" s="183" t="str">
        <x:v>Azure VM 监控数据参考</x:v>
      </x:c>
      <x:c r="C58" s="183" t="str">
        <x:v>Azure VM 监控数据参考</x:v>
      </x:c>
      <x:c r="D58" s="183" t="str">
        <x:v>Microsoft Learn
本次核对 2026-10-01</x:v>
      </x:c>
      <x:c r="E58" s="183" t="str">
        <x:v>Microsoft Learn
本次核对 2026-10-01</x:v>
      </x:c>
      <x:c r="F58" s="180" t="str">
        <x:v>https://learn.microsoft.com/en-us/azure/virtual-machines/monitor-vm-reference</x:v>
      </x:c>
      <x:c r="G58" s="180" t="str">
        <x:v>https://learn.microsoft.com/en-us/azure/virtual-machines/monitor-vm-reference</x:v>
      </x:c>
      <x:c r="H58" s="181" t="str">
        <x:v>https://learn.microsoft.com/en-us/azure/virtual-machines/monitor-vm-reference</x:v>
      </x:c>
    </x:row>
    <x:row r="59" ht="33.75" customHeight="1">
      <x:c r="A59" s="182"/>
      <x:c r="B59" s="197" t="str">
        <x:v>Microsoft / 官方文档 / 原阅览日：2026-10-01　依据：Network In/Out Total：Bytes、Total(Sum)，覆盖 VM 的所有 NIC。</x:v>
      </x:c>
      <x:c r="C59" s="197" t="str">
        <x:v>Microsoft / 官方文档 / 原阅览日：2026-10-01　依据：Network In/Out Total：Bytes、Total(Sum)，覆盖 VM 的所有 NIC。</x:v>
      </x:c>
      <x:c r="D59" s="197" t="str">
        <x:v>Microsoft / 官方文档 / 原阅览日：2026-10-01　依据：Network In/Out Total：Bytes、Total(Sum)，覆盖 VM 的所有 NIC。</x:v>
      </x:c>
      <x:c r="E59" s="197" t="str">
        <x:v>Microsoft / 官方文档 / 原阅览日：2026-10-01　依据：Network In/Out Total：Bytes、Total(Sum)，覆盖 VM 的所有 NIC。</x:v>
      </x:c>
      <x:c r="F59" s="197" t="str">
        <x:v>Microsoft / 官方文档 / 原阅览日：2026-10-01　依据：Network In/Out Total：Bytes、Total(Sum)，覆盖 VM 的所有 NIC。</x:v>
      </x:c>
      <x:c r="G59" s="197" t="str">
        <x:v>Microsoft / 官方文档 / 原阅览日：2026-10-01　依据：Network In/Out Total：Bytes、Total(Sum)，覆盖 VM 的所有 NIC。</x:v>
      </x:c>
      <x:c r="H59" s="198" t="str">
        <x:v>Microsoft / 官方文档 / 原阅览日：2026-10-01　依据：Network In/Out Total：Bytes、Total(Sum)，覆盖 VM 的所有 NIC。</x:v>
      </x:c>
    </x:row>
    <x:row r="60" ht="75" customHeight="1">
      <x:c r="A60" s="182" t="str">
        <x:v>S12</x:v>
      </x:c>
      <x:c r="B60" s="183" t="str">
        <x:v>Azure Metrics Explorer</x:v>
      </x:c>
      <x:c r="C60" s="183" t="str">
        <x:v>Azure Metrics Explorer</x:v>
      </x:c>
      <x:c r="D60" s="183" t="str">
        <x:v>在线文档 / 按原阅览日</x:v>
      </x:c>
      <x:c r="E60" s="183" t="str">
        <x:v>在线文档 / 按原阅览日</x:v>
      </x:c>
      <x:c r="F60" s="180" t="str">
        <x:v>https://learn.microsoft.com/en-us/azure/azure-monitor/metrics/analyze-metrics</x:v>
      </x:c>
      <x:c r="G60" s="180" t="str">
        <x:v>https://learn.microsoft.com/en-us/azure/azure-monitor/metrics/analyze-metrics</x:v>
      </x:c>
      <x:c r="H60" s="181" t="str">
        <x:v>https://learn.microsoft.com/en-us/azure/azure-monitor/metrics/analyze-metrics</x:v>
      </x:c>
    </x:row>
    <x:row r="61" ht="33.75" customHeight="1">
      <x:c r="A61" s="182"/>
      <x:c r="B61" s="197" t="str">
        <x:v>Microsoft / 官方文档 / 原阅览日：2026-10-01　依据：时间范围、聚合方式、图表及下载 Excel。</x:v>
      </x:c>
      <x:c r="C61" s="197" t="str">
        <x:v>Microsoft / 官方文档 / 原阅览日：2026-10-01　依据：时间范围、聚合方式、图表及下载 Excel。</x:v>
      </x:c>
      <x:c r="D61" s="197" t="str">
        <x:v>Microsoft / 官方文档 / 原阅览日：2026-10-01　依据：时间范围、聚合方式、图表及下载 Excel。</x:v>
      </x:c>
      <x:c r="E61" s="197" t="str">
        <x:v>Microsoft / 官方文档 / 原阅览日：2026-10-01　依据：时间范围、聚合方式、图表及下载 Excel。</x:v>
      </x:c>
      <x:c r="F61" s="197" t="str">
        <x:v>Microsoft / 官方文档 / 原阅览日：2026-10-01　依据：时间范围、聚合方式、图表及下载 Excel。</x:v>
      </x:c>
      <x:c r="G61" s="197" t="str">
        <x:v>Microsoft / 官方文档 / 原阅览日：2026-10-01　依据：时间范围、聚合方式、图表及下载 Excel。</x:v>
      </x:c>
      <x:c r="H61" s="198" t="str">
        <x:v>Microsoft / 官方文档 / 原阅览日：2026-10-01　依据：时间范围、聚合方式、图表及下载 Excel。</x:v>
      </x:c>
    </x:row>
    <x:row r="62" ht="75" customHeight="1">
      <x:c r="A62" s="182" t="str">
        <x:v>S13</x:v>
      </x:c>
      <x:c r="B62" s="183" t="str">
        <x:v>Virtual network flow logs 概览</x:v>
      </x:c>
      <x:c r="C62" s="183" t="str">
        <x:v>Virtual network flow logs 概览</x:v>
      </x:c>
      <x:c r="D62" s="183" t="str">
        <x:v>在线文档 / 按原阅览日</x:v>
      </x:c>
      <x:c r="E62" s="183" t="str">
        <x:v>在线文档 / 按原阅览日</x:v>
      </x:c>
      <x:c r="F62" s="180" t="str">
        <x:v>https://learn.microsoft.com/en-us/azure/network-watcher/vnet-flow-logs-overview</x:v>
      </x:c>
      <x:c r="G62" s="180" t="str">
        <x:v>https://learn.microsoft.com/en-us/azure/network-watcher/vnet-flow-logs-overview</x:v>
      </x:c>
      <x:c r="H62" s="181" t="str">
        <x:v>https://learn.microsoft.com/en-us/azure/network-watcher/vnet-flow-logs-overview</x:v>
      </x:c>
    </x:row>
    <x:row r="63" ht="33.75" customHeight="1">
      <x:c r="A63" s="182"/>
      <x:c r="B63" s="197" t="str">
        <x:v>Microsoft / 官方文档 / 原阅览日：2026-10-01　依据：IP、端口、方向和 Bytes 等流信息；确认日志格式与观测边界。</x:v>
      </x:c>
      <x:c r="C63" s="197" t="str">
        <x:v>Microsoft / 官方文档 / 原阅览日：2026-10-01　依据：IP、端口、方向和 Bytes 等流信息；确认日志格式与观测边界。</x:v>
      </x:c>
      <x:c r="D63" s="197" t="str">
        <x:v>Microsoft / 官方文档 / 原阅览日：2026-10-01　依据：IP、端口、方向和 Bytes 等流信息；确认日志格式与观测边界。</x:v>
      </x:c>
      <x:c r="E63" s="197" t="str">
        <x:v>Microsoft / 官方文档 / 原阅览日：2026-10-01　依据：IP、端口、方向和 Bytes 等流信息；确认日志格式与观测边界。</x:v>
      </x:c>
      <x:c r="F63" s="197" t="str">
        <x:v>Microsoft / 官方文档 / 原阅览日：2026-10-01　依据：IP、端口、方向和 Bytes 等流信息；确认日志格式与观测边界。</x:v>
      </x:c>
      <x:c r="G63" s="197" t="str">
        <x:v>Microsoft / 官方文档 / 原阅览日：2026-10-01　依据：IP、端口、方向和 Bytes 等流信息；确认日志格式与观测边界。</x:v>
      </x:c>
      <x:c r="H63" s="198" t="str">
        <x:v>Microsoft / 官方文档 / 原阅览日：2026-10-01　依据：IP、端口、方向和 Bytes 等流信息；确认日志格式与观测边界。</x:v>
      </x:c>
    </x:row>
    <x:row r="64" ht="75" customHeight="1">
      <x:c r="A64" s="182" t="str">
        <x:v>S14</x:v>
      </x:c>
      <x:c r="B64" s="183" t="str">
        <x:v>Virtual network flow logs 管理</x:v>
      </x:c>
      <x:c r="C64" s="183" t="str">
        <x:v>Virtual network flow logs 管理</x:v>
      </x:c>
      <x:c r="D64" s="183" t="str">
        <x:v>在线文档 / 按原阅览日</x:v>
      </x:c>
      <x:c r="E64" s="183" t="str">
        <x:v>在线文档 / 按原阅览日</x:v>
      </x:c>
      <x:c r="F64" s="180" t="str">
        <x:v>https://learn.microsoft.com/en-us/azure/network-watcher/vnet-flow-logs-manage</x:v>
      </x:c>
      <x:c r="G64" s="180" t="str">
        <x:v>https://learn.microsoft.com/en-us/azure/network-watcher/vnet-flow-logs-manage</x:v>
      </x:c>
      <x:c r="H64" s="181" t="str">
        <x:v>https://learn.microsoft.com/en-us/azure/network-watcher/vnet-flow-logs-manage</x:v>
      </x:c>
    </x:row>
    <x:row r="65" ht="33.75" customHeight="1">
      <x:c r="A65" s="182"/>
      <x:c r="B65" s="197" t="str">
        <x:v>Microsoft / 官方文档 / 原阅览日：2026-10-01　依据：配置权限和保存位置；新启用日志需由环境管理者判断并批准。</x:v>
      </x:c>
      <x:c r="C65" s="197" t="str">
        <x:v>Microsoft / 官方文档 / 原阅览日：2026-10-01　依据：配置权限和保存位置；新启用日志需由环境管理者判断并批准。</x:v>
      </x:c>
      <x:c r="D65" s="197" t="str">
        <x:v>Microsoft / 官方文档 / 原阅览日：2026-10-01　依据：配置权限和保存位置；新启用日志需由环境管理者判断并批准。</x:v>
      </x:c>
      <x:c r="E65" s="197" t="str">
        <x:v>Microsoft / 官方文档 / 原阅览日：2026-10-01　依据：配置权限和保存位置；新启用日志需由环境管理者判断并批准。</x:v>
      </x:c>
      <x:c r="F65" s="197" t="str">
        <x:v>Microsoft / 官方文档 / 原阅览日：2026-10-01　依据：配置权限和保存位置；新启用日志需由环境管理者判断并批准。</x:v>
      </x:c>
      <x:c r="G65" s="197" t="str">
        <x:v>Microsoft / 官方文档 / 原阅览日：2026-10-01　依据：配置权限和保存位置；新启用日志需由环境管理者判断并批准。</x:v>
      </x:c>
      <x:c r="H65" s="198" t="str">
        <x:v>Microsoft / 官方文档 / 原阅览日：2026-10-01　依据：配置权限和保存位置；新启用日志需由环境管理者判断并批准。</x:v>
      </x:c>
    </x:row>
    <x:row r="66" ht="75" customHeight="1">
      <x:c r="A66" s="182" t="str">
        <x:v>S15</x:v>
      </x:c>
      <x:c r="B66" s="183" t="str">
        <x:v>Traffic Analytics 数据结构</x:v>
      </x:c>
      <x:c r="C66" s="183" t="str">
        <x:v>Traffic Analytics 数据结构</x:v>
      </x:c>
      <x:c r="D66" s="183" t="str">
        <x:v>在线文档 / 按原阅览日</x:v>
      </x:c>
      <x:c r="E66" s="183" t="str">
        <x:v>在线文档 / 按原阅览日</x:v>
      </x:c>
      <x:c r="F66" s="180" t="str">
        <x:v>https://learn.microsoft.com/en-us/azure/network-watcher/traffic-analytics-schema</x:v>
      </x:c>
      <x:c r="G66" s="180" t="str">
        <x:v>https://learn.microsoft.com/en-us/azure/network-watcher/traffic-analytics-schema</x:v>
      </x:c>
      <x:c r="H66" s="181" t="str">
        <x:v>https://learn.microsoft.com/en-us/azure/network-watcher/traffic-analytics-schema</x:v>
      </x:c>
    </x:row>
    <x:row r="67" ht="33.75" customHeight="1">
      <x:c r="A67" s="182"/>
      <x:c r="B67" s="197" t="str">
        <x:v>Microsoft / 官方文档 / 原阅览日：2026-10-01　依据：聚合期间、字段定义、延迟及 IP 展示限制；不是实时数据。</x:v>
      </x:c>
      <x:c r="C67" s="197" t="str">
        <x:v>Microsoft / 官方文档 / 原阅览日：2026-10-01　依据：聚合期间、字段定义、延迟及 IP 展示限制；不是实时数据。</x:v>
      </x:c>
      <x:c r="D67" s="197" t="str">
        <x:v>Microsoft / 官方文档 / 原阅览日：2026-10-01　依据：聚合期间、字段定义、延迟及 IP 展示限制；不是实时数据。</x:v>
      </x:c>
      <x:c r="E67" s="197" t="str">
        <x:v>Microsoft / 官方文档 / 原阅览日：2026-10-01　依据：聚合期间、字段定义、延迟及 IP 展示限制；不是实时数据。</x:v>
      </x:c>
      <x:c r="F67" s="197" t="str">
        <x:v>Microsoft / 官方文档 / 原阅览日：2026-10-01　依据：聚合期间、字段定义、延迟及 IP 展示限制；不是实时数据。</x:v>
      </x:c>
      <x:c r="G67" s="197" t="str">
        <x:v>Microsoft / 官方文档 / 原阅览日：2026-10-01　依据：聚合期间、字段定义、延迟及 IP 展示限制；不是实时数据。</x:v>
      </x:c>
      <x:c r="H67" s="198" t="str">
        <x:v>Microsoft / 官方文档 / 原阅览日：2026-10-01　依据：聚合期间、字段定义、延迟及 IP 展示限制；不是实时数据。</x:v>
      </x:c>
    </x:row>
    <x:row r="68" ht="75" customHeight="1">
      <x:c r="A68" s="182" t="str">
        <x:v>S16</x:v>
      </x:c>
      <x:c r="B68" s="183" t="str">
        <x:v>基于 Pattern 的 Discovery 流程</x:v>
      </x:c>
      <x:c r="C68" s="183" t="str">
        <x:v>基于 Pattern 的 Discovery 流程</x:v>
      </x:c>
      <x:c r="D68" s="183" t="str">
        <x:v>/r/ 原阅览时所示版本</x:v>
      </x:c>
      <x:c r="E68" s="183" t="str">
        <x:v>/r/ 原阅览时所示版本</x:v>
      </x:c>
      <x:c r="F68" s="180" t="str">
        <x:v>https://www.servicenow.com/docs/r/it-operations-management/discovery/disco-process-flow-patterns.html</x:v>
      </x:c>
      <x:c r="G68" s="180" t="str">
        <x:v>https://www.servicenow.com/docs/r/it-operations-management/discovery/disco-process-flow-patterns.html</x:v>
      </x:c>
      <x:c r="H68" s="181" t="str">
        <x:v>https://www.servicenow.com/docs/r/it-operations-management/discovery/disco-process-flow-patterns.html</x:v>
      </x:c>
    </x:row>
    <x:row r="69" ht="33.75" customHeight="1">
      <x:c r="A69" s="182"/>
      <x:c r="B69" s="197" t="str">
        <x:v>ServiceNow / 官方文档 / 原阅览日：2026-10-01　依据：Scanning、Classification、Identification、Exploration 的流程。</x:v>
      </x:c>
      <x:c r="C69" s="197" t="str">
        <x:v>ServiceNow / 官方文档 / 原阅览日：2026-10-01　依据：Scanning、Classification、Identification、Exploration 的流程。</x:v>
      </x:c>
      <x:c r="D69" s="197" t="str">
        <x:v>ServiceNow / 官方文档 / 原阅览日：2026-10-01　依据：Scanning、Classification、Identification、Exploration 的流程。</x:v>
      </x:c>
      <x:c r="E69" s="197" t="str">
        <x:v>ServiceNow / 官方文档 / 原阅览日：2026-10-01　依据：Scanning、Classification、Identification、Exploration 的流程。</x:v>
      </x:c>
      <x:c r="F69" s="197" t="str">
        <x:v>ServiceNow / 官方文档 / 原阅览日：2026-10-01　依据：Scanning、Classification、Identification、Exploration 的流程。</x:v>
      </x:c>
      <x:c r="G69" s="197" t="str">
        <x:v>ServiceNow / 官方文档 / 原阅览日：2026-10-01　依据：Scanning、Classification、Identification、Exploration 的流程。</x:v>
      </x:c>
      <x:c r="H69" s="198" t="str">
        <x:v>ServiceNow / 官方文档 / 原阅览日：2026-10-01　依据：Scanning、Classification、Identification、Exploration 的流程。</x:v>
      </x:c>
    </x:row>
    <x:row r="70" ht="75" customHeight="1">
      <x:c r="A70" s="182" t="str">
        <x:v>S17</x:v>
      </x:c>
      <x:c r="B70" s="183" t="str">
        <x:v>Shazzam Probe 配置</x:v>
      </x:c>
      <x:c r="C70" s="183" t="str">
        <x:v>Shazzam Probe 配置</x:v>
      </x:c>
      <x:c r="D70" s="183" t="str">
        <x:v>/r/ 原阅览时所示版本</x:v>
      </x:c>
      <x:c r="E70" s="183" t="str">
        <x:v>/r/ 原阅览时所示版本</x:v>
      </x:c>
      <x:c r="F70" s="180" t="str">
        <x:v>https://www.servicenow.com/docs/r/it-operations-management/discovery/t_ConfigureTheShazzamProbe.html</x:v>
      </x:c>
      <x:c r="G70" s="180" t="str">
        <x:v>https://www.servicenow.com/docs/r/it-operations-management/discovery/t_ConfigureTheShazzamProbe.html</x:v>
      </x:c>
      <x:c r="H70" s="181" t="str">
        <x:v>https://www.servicenow.com/docs/r/it-operations-management/discovery/t_ConfigureTheShazzamProbe.html</x:v>
      </x:c>
    </x:row>
    <x:row r="71" ht="33.75" customHeight="1">
      <x:c r="A71" s="182"/>
      <x:c r="B71" s="197" t="str">
        <x:v>ServiceNow / 官方文档 / 原阅览日：2026-10-01　依据：核对目标 IP、端口以及扫描执行条件。</x:v>
      </x:c>
      <x:c r="C71" s="197" t="str">
        <x:v>ServiceNow / 官方文档 / 原阅览日：2026-10-01　依据：核对目标 IP、端口以及扫描执行条件。</x:v>
      </x:c>
      <x:c r="D71" s="197" t="str">
        <x:v>ServiceNow / 官方文档 / 原阅览日：2026-10-01　依据：核对目标 IP、端口以及扫描执行条件。</x:v>
      </x:c>
      <x:c r="E71" s="197" t="str">
        <x:v>ServiceNow / 官方文档 / 原阅览日：2026-10-01　依据：核对目标 IP、端口以及扫描执行条件。</x:v>
      </x:c>
      <x:c r="F71" s="197" t="str">
        <x:v>ServiceNow / 官方文档 / 原阅览日：2026-10-01　依据：核对目标 IP、端口以及扫描执行条件。</x:v>
      </x:c>
      <x:c r="G71" s="197" t="str">
        <x:v>ServiceNow / 官方文档 / 原阅览日：2026-10-01　依据：核对目标 IP、端口以及扫描执行条件。</x:v>
      </x:c>
      <x:c r="H71" s="198" t="str">
        <x:v>ServiceNow / 官方文档 / 原阅览日：2026-10-01　依据：核对目标 IP、端口以及扫描执行条件。</x:v>
      </x:c>
    </x:row>
    <x:row r="72" ht="44" customHeight="1">
      <x:c r="A72" s="179" t="str">
        <x:v>S18</x:v>
      </x:c>
      <x:c r="B72" s="180" t="str">
        <x:v>ACC 配置文件选项（acc.yml）</x:v>
      </x:c>
      <x:c r="C72" s="180" t="str">
        <x:v>ACC 配置文件选项（acc.yml）</x:v>
      </x:c>
      <x:c r="D72" s="180" t="str">
        <x:v>Brazil / 更新 2026-09-10
本次核对 2026-10-01</x:v>
      </x:c>
      <x:c r="E72" s="180" t="str">
        <x:v>Brazil / 更新 2026-09-10
本次核对 2026-10-01</x:v>
      </x:c>
      <x:c r="F72" s="180" t="str">
        <x:v>https://www.servicenow.com/docs/r/it-operations-management/agent-client-collector/acc-yml-options.html</x:v>
      </x:c>
      <x:c r="G72" s="180" t="str">
        <x:v>https://www.servicenow.com/docs/r/it-operations-management/agent-client-collector/acc-yml-options.html</x:v>
      </x:c>
      <x:c r="H72" s="181" t="str">
        <x:v>https://www.servicenow.com/docs/r/it-operations-management/agent-client-collector/acc-yml-options.html</x:v>
      </x:c>
    </x:row>
    <x:row r="73" ht="44" customHeight="1">
      <x:c r="A73" s="179"/>
      <x:c r="B73" s="180" t="str">
        <x:v>backend-url 指定连接的 MID Webserver endpoint。ITOM 应回填 PoC 实际 URL、Listener 端口与连接/TLS 条件；不在表内记录 api-key、密码等秘密信息。</x:v>
      </x:c>
      <x:c r="C73" s="180" t="str">
        <x:v>backend-url 指定连接的 MID Webserver endpoint。ITOM 应回填 PoC 实际 URL、Listener 端口与连接/TLS 条件；不在表内记录 api-key、密码等秘密信息。</x:v>
      </x:c>
      <x:c r="D73" s="180" t="str">
        <x:v>backend-url 指定连接的 MID Webserver endpoint。ITOM 应回填 PoC 实际 URL、Listener 端口与连接/TLS 条件；不在表内记录 api-key、密码等秘密信息。</x:v>
      </x:c>
      <x:c r="E73" s="180" t="str">
        <x:v>backend-url 指定连接的 MID Webserver endpoint。ITOM 应回填 PoC 实际 URL、Listener 端口与连接/TLS 条件；不在表内记录 api-key、密码等秘密信息。</x:v>
      </x:c>
      <x:c r="F73" s="180" t="str">
        <x:v>backend-url 指定连接的 MID Webserver endpoint。ITOM 应回填 PoC 实际 URL、Listener 端口与连接/TLS 条件；不在表内记录 api-key、密码等秘密信息。</x:v>
      </x:c>
      <x:c r="G73" s="180" t="str">
        <x:v>backend-url 指定连接的 MID Webserver endpoint。ITOM 应回填 PoC 实际 URL、Listener 端口与连接/TLS 条件；不在表内记录 api-key、密码等秘密信息。</x:v>
      </x:c>
      <x:c r="H73" s="181" t="str">
        <x:v>backend-url 指定连接的 MID Webserver endpoint。ITOM 应回填 PoC 实际 URL、Listener 端口与连接/TLS 条件；不在表内记录 api-key、密码等秘密信息。</x:v>
      </x:c>
    </x:row>
    <x:row r="74" ht="21" customHeight="1">
      <x:c r="A74" s="182"/>
      <x:c r="B74" s="183"/>
      <x:c r="C74" s="183"/>
      <x:c r="D74" s="183"/>
      <x:c r="E74" s="183"/>
      <x:c r="F74" s="183"/>
      <x:c r="G74" s="183"/>
      <x:c r="H74" s="184"/>
    </x:row>
    <x:row r="75" ht="21" customHeight="1">
      <x:c r="A75" s="182"/>
      <x:c r="B75" s="183"/>
      <x:c r="C75" s="183"/>
      <x:c r="D75" s="183"/>
      <x:c r="E75" s="183"/>
      <x:c r="F75" s="183"/>
      <x:c r="G75" s="183"/>
      <x:c r="H75" s="184"/>
    </x:row>
    <x:row r="76" ht="21" customHeight="1">
      <x:c r="A76" s="182"/>
      <x:c r="B76" s="183"/>
      <x:c r="C76" s="183"/>
      <x:c r="D76" s="183"/>
      <x:c r="E76" s="183"/>
      <x:c r="F76" s="183"/>
      <x:c r="G76" s="183"/>
      <x:c r="H76" s="184"/>
    </x:row>
    <x:row r="77" ht="21" customHeight="1">
      <x:c r="A77" s="182"/>
      <x:c r="B77" s="183"/>
      <x:c r="C77" s="183"/>
      <x:c r="D77" s="183"/>
      <x:c r="E77" s="183"/>
      <x:c r="F77" s="183"/>
      <x:c r="G77" s="183"/>
      <x:c r="H77" s="184"/>
    </x:row>
    <x:row r="78" ht="21" customHeight="1">
      <x:c r="A78" s="182"/>
      <x:c r="B78" s="183"/>
      <x:c r="C78" s="183"/>
      <x:c r="D78" s="183"/>
      <x:c r="E78" s="183"/>
      <x:c r="F78" s="183"/>
      <x:c r="G78" s="183"/>
      <x:c r="H78" s="184"/>
    </x:row>
    <x:row r="79" ht="21" customHeight="1">
      <x:c r="A79" s="182"/>
      <x:c r="B79" s="183"/>
      <x:c r="C79" s="183"/>
      <x:c r="D79" s="183"/>
      <x:c r="E79" s="183"/>
      <x:c r="F79" s="183"/>
      <x:c r="G79" s="183"/>
      <x:c r="H79" s="184"/>
    </x:row>
    <x:row r="80" ht="21" customHeight="1">
      <x:c r="A80" s="182"/>
      <x:c r="B80" s="183"/>
      <x:c r="C80" s="183"/>
      <x:c r="D80" s="183"/>
      <x:c r="E80" s="183"/>
      <x:c r="F80" s="183"/>
      <x:c r="G80" s="183"/>
      <x:c r="H80" s="184"/>
    </x:row>
    <x:row r="81" ht="21" customHeight="1">
      <x:c r="A81" s="182"/>
      <x:c r="B81" s="183"/>
      <x:c r="C81" s="183"/>
      <x:c r="D81" s="183"/>
      <x:c r="E81" s="183"/>
      <x:c r="F81" s="183"/>
      <x:c r="G81" s="183"/>
      <x:c r="H81" s="184"/>
    </x:row>
    <x:row r="82" ht="21" customHeight="1">
      <x:c r="A82" s="182"/>
      <x:c r="B82" s="183"/>
      <x:c r="C82" s="183"/>
      <x:c r="D82" s="183"/>
      <x:c r="E82" s="183"/>
      <x:c r="F82" s="183"/>
      <x:c r="G82" s="183"/>
      <x:c r="H82" s="184"/>
    </x:row>
    <x:row r="83" ht="21" customHeight="1">
      <x:c r="A83" s="182"/>
      <x:c r="B83" s="183"/>
      <x:c r="C83" s="183"/>
      <x:c r="D83" s="183"/>
      <x:c r="E83" s="183"/>
      <x:c r="F83" s="183"/>
      <x:c r="G83" s="183"/>
      <x:c r="H83" s="184"/>
    </x:row>
    <x:row r="84" ht="21" customHeight="1">
      <x:c r="A84" s="182"/>
      <x:c r="B84" s="183"/>
      <x:c r="C84" s="183"/>
      <x:c r="D84" s="183"/>
      <x:c r="E84" s="183"/>
      <x:c r="F84" s="183"/>
      <x:c r="G84" s="183"/>
      <x:c r="H84" s="184"/>
    </x:row>
    <x:row r="85" ht="21" customHeight="1">
      <x:c r="A85" s="182"/>
      <x:c r="B85" s="183"/>
      <x:c r="C85" s="183"/>
      <x:c r="D85" s="183"/>
      <x:c r="E85" s="183"/>
      <x:c r="F85" s="183"/>
      <x:c r="G85" s="183"/>
      <x:c r="H85" s="184"/>
    </x:row>
    <x:row r="86" ht="21" customHeight="1">
      <x:c r="A86" s="182"/>
      <x:c r="B86" s="183"/>
      <x:c r="C86" s="183"/>
      <x:c r="D86" s="183"/>
      <x:c r="E86" s="183"/>
      <x:c r="F86" s="183"/>
      <x:c r="G86" s="183"/>
      <x:c r="H86" s="184"/>
    </x:row>
    <x:row r="87" ht="21" customHeight="1">
      <x:c r="A87" s="182"/>
      <x:c r="B87" s="183"/>
      <x:c r="C87" s="183"/>
      <x:c r="D87" s="183"/>
      <x:c r="E87" s="183"/>
      <x:c r="F87" s="183"/>
      <x:c r="G87" s="183"/>
      <x:c r="H87" s="184"/>
    </x:row>
    <x:row r="88" ht="21" customHeight="1">
      <x:c r="A88" s="182"/>
      <x:c r="B88" s="183"/>
      <x:c r="C88" s="183"/>
      <x:c r="D88" s="183"/>
      <x:c r="E88" s="183"/>
      <x:c r="F88" s="183"/>
      <x:c r="G88" s="183"/>
      <x:c r="H88" s="184"/>
    </x:row>
    <x:row r="89" ht="21" customHeight="1">
      <x:c r="A89" s="182"/>
      <x:c r="B89" s="183"/>
      <x:c r="C89" s="183"/>
      <x:c r="D89" s="183"/>
      <x:c r="E89" s="183"/>
      <x:c r="F89" s="183"/>
      <x:c r="G89" s="183"/>
      <x:c r="H89" s="184"/>
    </x:row>
    <x:row r="90" ht="21" customHeight="1">
      <x:c r="A90" s="182"/>
      <x:c r="B90" s="183"/>
      <x:c r="C90" s="183"/>
      <x:c r="D90" s="183"/>
      <x:c r="E90" s="183"/>
      <x:c r="F90" s="183"/>
      <x:c r="G90" s="183"/>
      <x:c r="H90" s="184"/>
    </x:row>
    <x:row r="91" ht="21" customHeight="1">
      <x:c r="A91" s="182"/>
      <x:c r="B91" s="183"/>
      <x:c r="C91" s="183"/>
      <x:c r="D91" s="183"/>
      <x:c r="E91" s="183"/>
      <x:c r="F91" s="183"/>
      <x:c r="G91" s="183"/>
      <x:c r="H91" s="184"/>
    </x:row>
    <x:row r="92" ht="21" customHeight="1">
      <x:c r="A92" s="182"/>
      <x:c r="B92" s="183"/>
      <x:c r="C92" s="183"/>
      <x:c r="D92" s="183"/>
      <x:c r="E92" s="183"/>
      <x:c r="F92" s="183"/>
      <x:c r="G92" s="183"/>
      <x:c r="H92" s="184"/>
    </x:row>
    <x:row r="93" ht="21" customHeight="1">
      <x:c r="A93" s="182"/>
      <x:c r="B93" s="183"/>
      <x:c r="C93" s="183"/>
      <x:c r="D93" s="183"/>
      <x:c r="E93" s="183"/>
      <x:c r="F93" s="183"/>
      <x:c r="G93" s="183"/>
      <x:c r="H93" s="184"/>
    </x:row>
    <x:row r="94" ht="21" customHeight="1">
      <x:c r="A94" s="182"/>
      <x:c r="B94" s="183"/>
      <x:c r="C94" s="183"/>
      <x:c r="D94" s="183"/>
      <x:c r="E94" s="183"/>
      <x:c r="F94" s="183"/>
      <x:c r="G94" s="183"/>
      <x:c r="H94" s="184"/>
    </x:row>
    <x:row r="95" ht="21" customHeight="1">
      <x:c r="A95" s="182"/>
      <x:c r="B95" s="183"/>
      <x:c r="C95" s="183"/>
      <x:c r="D95" s="183"/>
      <x:c r="E95" s="183"/>
      <x:c r="F95" s="183"/>
      <x:c r="G95" s="183"/>
      <x:c r="H95" s="184"/>
    </x:row>
    <x:row r="96" ht="21" customHeight="1">
      <x:c r="A96" s="182"/>
      <x:c r="B96" s="183"/>
      <x:c r="C96" s="183"/>
      <x:c r="D96" s="183"/>
      <x:c r="E96" s="183"/>
      <x:c r="F96" s="183"/>
      <x:c r="G96" s="183"/>
      <x:c r="H96" s="184"/>
    </x:row>
    <x:row r="97" ht="21" customHeight="1">
      <x:c r="A97" s="182"/>
      <x:c r="B97" s="183"/>
      <x:c r="C97" s="183"/>
      <x:c r="D97" s="183"/>
      <x:c r="E97" s="183"/>
      <x:c r="F97" s="183"/>
      <x:c r="G97" s="183"/>
      <x:c r="H97" s="184"/>
    </x:row>
    <x:row r="98" ht="21" customHeight="1">
      <x:c r="A98" s="182"/>
      <x:c r="B98" s="183"/>
      <x:c r="C98" s="183"/>
      <x:c r="D98" s="183"/>
      <x:c r="E98" s="183"/>
      <x:c r="F98" s="183"/>
      <x:c r="G98" s="183"/>
      <x:c r="H98" s="184"/>
    </x:row>
    <x:row r="99" ht="21" customHeight="1">
      <x:c r="A99" s="182"/>
      <x:c r="B99" s="183"/>
      <x:c r="C99" s="183"/>
      <x:c r="D99" s="183"/>
      <x:c r="E99" s="183"/>
      <x:c r="F99" s="183"/>
      <x:c r="G99" s="183"/>
      <x:c r="H99" s="184"/>
    </x:row>
    <x:row r="100" ht="21" customHeight="1">
      <x:c r="A100" s="199"/>
      <x:c r="B100" s="200"/>
      <x:c r="C100" s="200"/>
      <x:c r="D100" s="200"/>
      <x:c r="E100" s="200"/>
      <x:c r="F100" s="200"/>
      <x:c r="G100" s="200"/>
      <x:c r="H100" s="201"/>
    </x:row>
  </x:sheetData>
  <x:mergeCells>
    <x:mergeCell ref="A2:H2"/>
    <x:mergeCell ref="A3:H3"/>
    <x:mergeCell ref="A5:H5"/>
    <x:mergeCell ref="A6:H6"/>
    <x:mergeCell ref="A8:H8"/>
    <x:mergeCell ref="A9:B9"/>
    <x:mergeCell ref="C9:E9"/>
    <x:mergeCell ref="F9:H9"/>
    <x:mergeCell ref="A10:B10"/>
    <x:mergeCell ref="C10:E10"/>
    <x:mergeCell ref="F10:H10"/>
    <x:mergeCell ref="A11:B11"/>
    <x:mergeCell ref="C11:E11"/>
    <x:mergeCell ref="F11:H11"/>
    <x:mergeCell ref="A12:B12"/>
    <x:mergeCell ref="C12:E12"/>
    <x:mergeCell ref="F12:H12"/>
    <x:mergeCell ref="A13:B13"/>
    <x:mergeCell ref="C13:E13"/>
    <x:mergeCell ref="F13:H13"/>
    <x:mergeCell ref="A14:B14"/>
    <x:mergeCell ref="C14:E14"/>
    <x:mergeCell ref="F14:H14"/>
    <x:mergeCell ref="A16:H16"/>
    <x:mergeCell ref="A17:H17"/>
    <x:mergeCell ref="A18:H18"/>
    <x:mergeCell ref="A20:H20"/>
    <x:mergeCell ref="A21:B21"/>
    <x:mergeCell ref="C21:H21"/>
    <x:mergeCell ref="A22:B22"/>
    <x:mergeCell ref="C22:H22"/>
    <x:mergeCell ref="A23:B23"/>
    <x:mergeCell ref="C23:H23"/>
    <x:mergeCell ref="A24:B24"/>
    <x:mergeCell ref="C24:H24"/>
    <x:mergeCell ref="A26:H26"/>
    <x:mergeCell ref="A28:H28"/>
    <x:mergeCell ref="A29:H29"/>
    <x:mergeCell ref="A31:H31"/>
    <x:mergeCell ref="A32:H32"/>
    <x:mergeCell ref="A34:H34"/>
    <x:mergeCell ref="A35:H35"/>
    <x:mergeCell ref="B37:C37"/>
    <x:mergeCell ref="D37:E37"/>
    <x:mergeCell ref="F37:H37"/>
    <x:mergeCell ref="B38:C38"/>
    <x:mergeCell ref="D38:E38"/>
    <x:mergeCell ref="F38:H38"/>
    <x:mergeCell ref="B39:H39"/>
    <x:mergeCell ref="B40:C40"/>
    <x:mergeCell ref="D40:E40"/>
    <x:mergeCell ref="F40:H40"/>
    <x:mergeCell ref="B41:H41"/>
    <x:mergeCell ref="B42:C42"/>
    <x:mergeCell ref="D42:E42"/>
    <x:mergeCell ref="F42:H42"/>
    <x:mergeCell ref="B43:H43"/>
    <x:mergeCell ref="B44:C44"/>
    <x:mergeCell ref="D44:E44"/>
    <x:mergeCell ref="F44:H44"/>
    <x:mergeCell ref="B45:H45"/>
    <x:mergeCell ref="B46:C46"/>
    <x:mergeCell ref="D46:E46"/>
    <x:mergeCell ref="F46:H46"/>
    <x:mergeCell ref="B47:H47"/>
    <x:mergeCell ref="B48:C48"/>
    <x:mergeCell ref="D48:E48"/>
    <x:mergeCell ref="F48:H48"/>
    <x:mergeCell ref="B49:H49"/>
    <x:mergeCell ref="B50:C50"/>
    <x:mergeCell ref="D50:E50"/>
    <x:mergeCell ref="F50:H50"/>
    <x:mergeCell ref="B51:H51"/>
    <x:mergeCell ref="B52:C52"/>
    <x:mergeCell ref="D52:E52"/>
    <x:mergeCell ref="F52:H52"/>
    <x:mergeCell ref="B53:H53"/>
    <x:mergeCell ref="B54:C54"/>
    <x:mergeCell ref="D54:E54"/>
    <x:mergeCell ref="F54:H54"/>
    <x:mergeCell ref="B55:H55"/>
    <x:mergeCell ref="B56:C56"/>
    <x:mergeCell ref="D56:E56"/>
    <x:mergeCell ref="F56:H56"/>
    <x:mergeCell ref="B57:H57"/>
    <x:mergeCell ref="B58:C58"/>
    <x:mergeCell ref="D58:E58"/>
    <x:mergeCell ref="F58:H58"/>
    <x:mergeCell ref="B59:H59"/>
    <x:mergeCell ref="B60:C60"/>
    <x:mergeCell ref="D60:E60"/>
    <x:mergeCell ref="F60:H60"/>
    <x:mergeCell ref="B61:H61"/>
    <x:mergeCell ref="B62:C62"/>
    <x:mergeCell ref="D62:E62"/>
    <x:mergeCell ref="F62:H62"/>
    <x:mergeCell ref="B63:H63"/>
    <x:mergeCell ref="B64:C64"/>
    <x:mergeCell ref="D64:E64"/>
    <x:mergeCell ref="F64:H64"/>
    <x:mergeCell ref="B65:H65"/>
    <x:mergeCell ref="B66:C66"/>
    <x:mergeCell ref="D66:E66"/>
    <x:mergeCell ref="F66:H66"/>
    <x:mergeCell ref="B67:H67"/>
    <x:mergeCell ref="B68:C68"/>
    <x:mergeCell ref="D68:E68"/>
    <x:mergeCell ref="F68:H68"/>
    <x:mergeCell ref="B69:H69"/>
    <x:mergeCell ref="B70:C70"/>
    <x:mergeCell ref="D70:E70"/>
    <x:mergeCell ref="F70:H70"/>
    <x:mergeCell ref="B71:H71"/>
    <x:mergeCell ref="B72:C72"/>
    <x:mergeCell ref="D72:E72"/>
    <x:mergeCell ref="F72:H72"/>
    <x:mergeCell ref="B73:H7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444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.130000114440918" hidden="0" customWidth="1"/>
    <x:col min="2" max="2" width="16.25" hidden="0" customWidth="1"/>
    <x:col min="3" max="3" width="40.630001068115234" hidden="0" customWidth="1"/>
    <x:col min="4" max="4" width="31.25" hidden="0" customWidth="1"/>
    <x:col min="5" max="5" width="26.25" hidden="0" customWidth="1"/>
    <x:col min="6" max="6" width="26.25" hidden="0" customWidth="1"/>
    <x:col min="7" max="7" width="26.25" hidden="0" customWidth="1"/>
    <x:col min="8" max="8" width="18.75" hidden="0" customWidth="1"/>
    <x:col min="9" max="9" width="16.8799991607666" hidden="0" customWidth="1"/>
  </x:cols>
  <x:sheetData>
    <x:row r="1" ht="21" customHeight="1">
      <x:c r="A1" s="173"/>
      <x:c r="B1" s="174"/>
      <x:c r="C1" s="174"/>
      <x:c r="D1" s="174"/>
      <x:c r="E1" s="174"/>
      <x:c r="F1" s="174"/>
      <x:c r="G1" s="174"/>
      <x:c r="H1" s="174"/>
      <x:c r="I1" s="175"/>
    </x:row>
    <x:row r="2" ht="30" customHeight="1">
      <x:c r="A2" s="176" t="str">
        <x:v>各环境事前确认与回答表</x:v>
      </x:c>
      <x:c r="B2" s="177" t="str">
        <x:v>各环境事前确认与回答表</x:v>
      </x:c>
      <x:c r="C2" s="177" t="str">
        <x:v>各环境事前确认与回答表</x:v>
      </x:c>
      <x:c r="D2" s="177" t="str">
        <x:v>各环境事前确认与回答表</x:v>
      </x:c>
      <x:c r="E2" s="177" t="str">
        <x:v>各环境事前确认与回答表</x:v>
      </x:c>
      <x:c r="F2" s="177" t="str">
        <x:v>各环境事前确认与回答表</x:v>
      </x:c>
      <x:c r="G2" s="177" t="str">
        <x:v>各环境事前确认与回答表</x:v>
      </x:c>
      <x:c r="H2" s="177" t="str">
        <x:v>各环境事前确认与回答表</x:v>
      </x:c>
      <x:c r="I2" s="178" t="str">
        <x:v>各环境事前确认与回答表</x:v>
      </x:c>
    </x:row>
    <x:row r="3" ht="28.5" customHeight="1">
      <x:c r="A3" s="179" t="str">
        <x:v>浅灰色为各环境回答栏。ITOM 提供通信要件与自有 Azure PoC 流量；环境负责人确认本环境可否实施、差异条件、实际地址和申请手续。</x:v>
      </x:c>
      <x:c r="B3" s="180" t="str">
        <x:v>浅灰色为各环境回答栏。ITOM 提供通信要件与自有 Azure PoC 流量；环境负责人确认本环境可否实施、差异条件、实际地址和申请手续。</x:v>
      </x:c>
      <x:c r="C3" s="180" t="str">
        <x:v>浅灰色为各环境回答栏。ITOM 提供通信要件与自有 Azure PoC 流量；环境负责人确认本环境可否实施、差异条件、实际地址和申请手续。</x:v>
      </x:c>
      <x:c r="D3" s="180" t="str">
        <x:v>浅灰色为各环境回答栏。ITOM 提供通信要件与自有 Azure PoC 流量；环境负责人确认本环境可否实施、差异条件、实际地址和申请手续。</x:v>
      </x:c>
      <x:c r="E3" s="180" t="str">
        <x:v>浅灰色为各环境回答栏。ITOM 提供通信要件与自有 Azure PoC 流量；环境负责人确认本环境可否实施、差异条件、实际地址和申请手续。</x:v>
      </x:c>
      <x:c r="F3" s="180" t="str">
        <x:v>浅灰色为各环境回答栏。ITOM 提供通信要件与自有 Azure PoC 流量；环境负责人确认本环境可否实施、差异条件、实际地址和申请手续。</x:v>
      </x:c>
      <x:c r="G3" s="180" t="str">
        <x:v>浅灰色为各环境回答栏。ITOM 提供通信要件与自有 Azure PoC 流量；环境负责人确认本环境可否实施、差异条件、实际地址和申请手续。</x:v>
      </x:c>
      <x:c r="H3" s="180" t="str">
        <x:v>浅灰色为各环境回答栏。ITOM 提供通信要件与自有 Azure PoC 流量；环境负责人确认本环境可否实施、差异条件、实际地址和申请手续。</x:v>
      </x:c>
      <x:c r="I3" s="181" t="str">
        <x:v>浅灰色为各环境回答栏。ITOM 提供通信要件与自有 Azure PoC 流量；环境负责人确认本环境可否实施、差异条件、实际地址和申请手续。</x:v>
      </x:c>
    </x:row>
    <x:row r="4" ht="21" customHeight="1">
      <x:c r="A4" s="182"/>
      <x:c r="B4" s="183"/>
      <x:c r="C4" s="183"/>
      <x:c r="D4" s="183"/>
      <x:c r="E4" s="183"/>
      <x:c r="F4" s="183"/>
      <x:c r="G4" s="183"/>
      <x:c r="H4" s="183"/>
      <x:c r="I4" s="184"/>
    </x:row>
    <x:row r="5" ht="31.5" customHeight="1">
      <x:c r="A5" s="191" t="str">
        <x:v>请在 E～G 列填写联系人、期望回答日期和实施时间。以下分工为建议，最终按合同和内部规则确定。</x:v>
      </x:c>
      <x:c r="B5" s="192" t="str">
        <x:v>请在 E～G 列填写联系人、期望回答日期和实施时间。以下分工为建议，最终按合同和内部规则确定。</x:v>
      </x:c>
      <x:c r="C5" s="192" t="str">
        <x:v>请在 E～G 列填写联系人、期望回答日期和实施时间。以下分工为建议，最终按合同和内部规则确定。</x:v>
      </x:c>
      <x:c r="D5" s="192" t="str">
        <x:v>请在 E～G 列填写联系人、期望回答日期和实施时间。以下分工为建议，最终按合同和内部规则确定。</x:v>
      </x:c>
      <x:c r="E5" s="192" t="str">
        <x:v>请在 E～G 列填写联系人、期望回答日期和实施时间。以下分工为建议，最终按合同和内部规则确定。</x:v>
      </x:c>
      <x:c r="F5" s="192" t="str">
        <x:v>请在 E～G 列填写联系人、期望回答日期和实施时间。以下分工为建议，最终按合同和内部规则确定。</x:v>
      </x:c>
      <x:c r="G5" s="192" t="str">
        <x:v>请在 E～G 列填写联系人、期望回答日期和实施时间。以下分工为建议，最终按合同和内部规则确定。</x:v>
      </x:c>
      <x:c r="H5" s="192" t="str">
        <x:v>请在 E～G 列填写联系人、期望回答日期和实施时间。以下分工为建议，最终按合同和内部规则确定。</x:v>
      </x:c>
      <x:c r="I5" s="193" t="str">
        <x:v>请在 E～G 列填写联系人、期望回答日期和实施时间。以下分工为建议，最终按合同和内部规则确定。</x:v>
      </x:c>
    </x:row>
    <x:row r="6" ht="21" customHeight="1">
      <x:c r="A6" s="182"/>
      <x:c r="B6" s="183"/>
      <x:c r="C6" s="183"/>
      <x:c r="D6" s="183"/>
      <x:c r="E6" s="183"/>
      <x:c r="F6" s="183"/>
      <x:c r="G6" s="183"/>
      <x:c r="H6" s="183"/>
      <x:c r="I6" s="184"/>
    </x:row>
    <x:row r="7" ht="33" customHeight="1">
      <x:c r="A7" s="188" t="str">
        <x:v>ID</x:v>
      </x:c>
      <x:c r="B7" s="189" t="str">
        <x:v>确认类别</x:v>
      </x:c>
      <x:c r="C7" s="189" t="str">
        <x:v>需环境负责人确认的事项</x:v>
      </x:c>
      <x:c r="D7" s="189" t="str">
        <x:v>ITOM 侧负责事项</x:v>
      </x:c>
      <x:c r="E7" s="189" t="str">
        <x:v>Housing 回答</x:v>
      </x:c>
      <x:c r="F7" s="189" t="str">
        <x:v>Hosting 回答</x:v>
      </x:c>
      <x:c r="G7" s="189" t="str">
        <x:v>据点 LAN 回答</x:v>
      </x:c>
      <x:c r="H7" s="189" t="str">
        <x:v>主要责任方（建议）</x:v>
      </x:c>
      <x:c r="I7" s="190" t="str">
        <x:v>依据 / 类别</x:v>
      </x:c>
    </x:row>
    <x:row r="8" ht="72" customHeight="1">
      <x:c r="A8" s="202" t="str">
        <x:v>R01</x:v>
      </x:c>
      <x:c r="B8" s="203" t="str">
        <x:v>联系人 / 日程</x:v>
      </x:c>
      <x:c r="C8" s="203" t="str">
        <x:v>环境联系人、相关团队、期望回答日期及验证时间。</x:v>
      </x:c>
      <x:c r="D8" s="203" t="str">
        <x:v>ITOM 发起协调并安排整体日程。</x:v>
      </x:c>
      <x:c r="E8" s="204"/>
      <x:c r="F8" s="204"/>
      <x:c r="G8" s="204"/>
      <x:c r="H8" s="203" t="str">
        <x:v>环境责任人</x:v>
      </x:c>
      <x:c r="I8" s="205" t="str">
        <x:v>待确认</x:v>
      </x:c>
    </x:row>
    <x:row r="9" ht="72" customHeight="1">
      <x:c r="A9" s="206" t="str">
        <x:v>R02</x:v>
      </x:c>
      <x:c r="B9" s="207" t="str">
        <x:v>责任边界</x:v>
      </x:c>
      <x:c r="C9" s="207" t="str">
        <x:v>Housing/Hosting/据点 LAN 的责任边界，以及 VM、OS、网络、FW、凭证与变更的管理者。</x:v>
      </x:c>
      <x:c r="D9" s="207" t="str">
        <x:v>提供技术通信条件与 PoC 流量依据，协调各环境审查与后续实施。</x:v>
      </x:c>
      <x:c r="E9" s="208"/>
      <x:c r="F9" s="208"/>
      <x:c r="G9" s="208"/>
      <x:c r="H9" s="207" t="str">
        <x:v>环境责任人</x:v>
      </x:c>
      <x:c r="I9" s="209" t="str">
        <x:v>待确认</x:v>
      </x:c>
    </x:row>
    <x:row r="10" ht="72" customHeight="1">
      <x:c r="A10" s="206" t="str">
        <x:v>R03</x:v>
      </x:c>
      <x:c r="B10" s="207" t="str">
        <x:v>目标 / 排除</x:v>
      </x:c>
      <x:c r="C10" s="207" t="str">
        <x:v>服务器和设备清单、OS、数量、目标 IP/CIDR、排除 IP、重要或受限制目标。</x:v>
      </x:c>
      <x:c r="D10" s="207" t="str">
        <x:v>设置 Discovery 计划与排除范围。</x:v>
      </x:c>
      <x:c r="E10" s="208"/>
      <x:c r="F10" s="208"/>
      <x:c r="G10" s="208"/>
      <x:c r="H10" s="207" t="str">
        <x:v>目标管理者</x:v>
      </x:c>
      <x:c r="I10" s="209" t="str">
        <x:v>S04/S17</x:v>
      </x:c>
    </x:row>
    <x:row r="11" ht="72" customHeight="1">
      <x:c r="A11" s="206" t="str">
        <x:v>R04</x:v>
      </x:c>
      <x:c r="B11" s="207" t="str">
        <x:v>采用方式</x:v>
      </x:c>
      <x:c r="C11" s="207" t="str">
        <x:v>Windows：WMI 或 WinRM；Linux：SSH；网络设备：SNMP；是否采用 ACC。</x:v>
      </x:c>
      <x:c r="D11" s="207" t="str">
        <x:v>确认适用 Pattern 和权限。</x:v>
      </x:c>
      <x:c r="E11" s="208"/>
      <x:c r="F11" s="208"/>
      <x:c r="G11" s="208"/>
      <x:c r="H11" s="207" t="str">
        <x:v>ITOM＋目标负责人</x:v>
      </x:c>
      <x:c r="I11" s="209" t="str">
        <x:v>S04/S05</x:v>
      </x:c>
    </x:row>
    <x:row r="12" ht="72" customHeight="1">
      <x:c r="A12" s="206" t="str">
        <x:v>R05</x:v>
      </x:c>
      <x:c r="B12" s="207" t="str">
        <x:v>MID 位置</x:v>
      </x:c>
      <x:c r="C12" s="207" t="str">
        <x:v>能够到达目标的网段、安全边界及可用于部署的 VM。</x:v>
      </x:c>
      <x:c r="D12" s="207" t="str">
        <x:v>依据可达性和负载评估数量，不按环境名称固定台数。</x:v>
      </x:c>
      <x:c r="E12" s="208"/>
      <x:c r="F12" s="208"/>
      <x:c r="G12" s="208"/>
      <x:c r="H12" s="207" t="str">
        <x:v>服务器＋网络负责人</x:v>
      </x:c>
      <x:c r="I12" s="209" t="str">
        <x:v>S01/S02</x:v>
      </x:c>
    </x:row>
    <x:row r="13" ht="72" customHeight="1">
      <x:c r="A13" s="206" t="str">
        <x:v>R06</x:v>
      </x:c>
      <x:c r="B13" s="207" t="str">
        <x:v>VM / OS 规格</x:v>
      </x:c>
      <x:c r="C13" s="207" t="str">
        <x:v>支持的 OS、CPU/RAM/Disk、可用空间、是否允许共用用途、SN/MID 版本。</x:v>
      </x:c>
      <x:c r="D13" s="207" t="str">
        <x:v>提供目标规模和并行数，按对应版本官方要求核对。</x:v>
      </x:c>
      <x:c r="E13" s="208"/>
      <x:c r="F13" s="208"/>
      <x:c r="G13" s="208"/>
      <x:c r="H13" s="207" t="str">
        <x:v>服务器＋ITOM</x:v>
      </x:c>
      <x:c r="I13" s="209" t="str">
        <x:v>S02</x:v>
      </x:c>
    </x:row>
    <x:row r="14" ht="72" customHeight="1">
      <x:c r="A14" s="206" t="str">
        <x:v>R07</x:v>
      </x:c>
      <x:c r="B14" s="207" t="str">
        <x:v>MID IP/FQDN</x:v>
      </x:c>
      <x:c r="C14" s="207" t="str">
        <x:v>MID 固定/预留 IP、FQDN、目标侧名称解析及 NAT 后源 IP。</x:v>
      </x:c>
      <x:c r="D14" s="207" t="str">
        <x:v>提供 PoC 的命名/连接方式作为参考；按本环境确认后的实际 IP/FQDN 配置并申请。</x:v>
      </x:c>
      <x:c r="E14" s="208"/>
      <x:c r="F14" s="208"/>
      <x:c r="G14" s="208"/>
      <x:c r="H14" s="207" t="str">
        <x:v>网络 / DNS 负责人</x:v>
      </x:c>
      <x:c r="I14" s="209" t="str">
        <x:v>S01/S09</x:v>
      </x:c>
    </x:row>
    <x:row r="15" ht="72" customHeight="1">
      <x:c r="A15" s="206" t="str">
        <x:v>R08</x:v>
      </x:c>
      <x:c r="B15" s="207" t="str">
        <x:v>SaaS 连接路径</x:v>
      </x:c>
      <x:c r="C15" s="207" t="str">
        <x:v>ServiceNow Instance URL、直接或 Proxy、Proxy 认证、TLS 检查、允许的目的地。</x:v>
      </x:c>
      <x:c r="D15" s="207" t="str">
        <x:v>验证 MID 连接与证书；仅放行 443 不代表必然连接成功。</x:v>
      </x:c>
      <x:c r="E15" s="208"/>
      <x:c r="F15" s="208"/>
      <x:c r="G15" s="208"/>
      <x:c r="H15" s="207" t="str">
        <x:v>网络 / 安全负责人</x:v>
      </x:c>
      <x:c r="I15" s="209" t="str">
        <x:v>S01/S06</x:v>
      </x:c>
    </x:row>
    <x:row r="16" ht="72" customHeight="1">
      <x:c r="A16" s="206" t="str">
        <x:v>R09</x:v>
      </x:c>
      <x:c r="B16" s="207" t="str">
        <x:v>FW 变更</x:v>
      </x:c>
      <x:c r="C16" s="207" t="str">
        <x:v>源与目的地址、端口、路径、申请方法、审批人、期限及回退步骤。</x:v>
      </x:c>
      <x:c r="D16" s="207" t="str">
        <x:v>先提供第 03 页通信 ID、路径、端口、用途、时机和 PoC 验证状态；环境方确认适用值与放行。</x:v>
      </x:c>
      <x:c r="E16" s="208"/>
      <x:c r="F16" s="208"/>
      <x:c r="G16" s="208"/>
      <x:c r="H16" s="207" t="str">
        <x:v>网络 / 安全负责人</x:v>
      </x:c>
      <x:c r="I16" s="209" t="str">
        <x:v>S04/S10</x:v>
      </x:c>
    </x:row>
    <x:row r="17" ht="72" customHeight="1">
      <x:c r="A17" s="206" t="str">
        <x:v>R10</x:v>
      </x:c>
      <x:c r="B17" s="207" t="str">
        <x:v>MID 安装权限</x:v>
      </x:c>
      <x:c r="C17" s="207" t="str">
        <x:v>安装者、OS 服务账号、常驻服务许可、AV/EDR 条件。</x:v>
      </x:c>
      <x:c r="D17" s="207" t="str">
        <x:v>安装 MID，配置 SN 连接用户；与目标设备认证分开。</x:v>
      </x:c>
      <x:c r="E17" s="208"/>
      <x:c r="F17" s="208"/>
      <x:c r="G17" s="208"/>
      <x:c r="H17" s="207" t="str">
        <x:v>服务器＋ITOM</x:v>
      </x:c>
      <x:c r="I17" s="209" t="str">
        <x:v>S08</x:v>
      </x:c>
    </x:row>
    <x:row r="18" ht="72" customHeight="1">
      <x:c r="A18" s="206" t="str">
        <x:v>R11</x:v>
      </x:c>
      <x:c r="B18" s="207" t="str">
        <x:v>Windows 认证</x:v>
      </x:c>
      <x:c r="C18" s="207" t="str">
        <x:v>目标连接账号、本地管理权限等、Domain/Workgroup、WMI/WinRM 启用情况。</x:v>
      </x:c>
      <x:c r="D18" s="207" t="str">
        <x:v>逐目标确认权限，不一律要求 Domain Admin。</x:v>
      </x:c>
      <x:c r="E18" s="208"/>
      <x:c r="F18" s="208"/>
      <x:c r="G18" s="208"/>
      <x:c r="H18" s="207" t="str">
        <x:v>Windows 管理者</x:v>
      </x:c>
      <x:c r="I18" s="209" t="str">
        <x:v>S05/S07</x:v>
      </x:c>
    </x:row>
    <x:row r="19" ht="72" customHeight="1">
      <x:c r="A19" s="206" t="str">
        <x:v>R12</x:v>
      </x:c>
      <x:c r="B19" s="207" t="str">
        <x:v>Linux 认证</x:v>
      </x:c>
      <x:c r="C19" s="207" t="str">
        <x:v>SSH 账号/密钥、sudo 允许命令、Shell 和访问限制。</x:v>
      </x:c>
      <x:c r="D19" s="207" t="str">
        <x:v>根据 Pattern 核对权限，不一律要求常用 root。</x:v>
      </x:c>
      <x:c r="E19" s="208"/>
      <x:c r="F19" s="208"/>
      <x:c r="G19" s="208"/>
      <x:c r="H19" s="207" t="str">
        <x:v>Linux 管理者</x:v>
      </x:c>
      <x:c r="I19" s="209" t="str">
        <x:v>S07</x:v>
      </x:c>
    </x:row>
    <x:row r="20" ht="72" customHeight="1">
      <x:c r="A20" s="206" t="str">
        <x:v>R13</x:v>
      </x:c>
      <x:c r="B20" s="207" t="str">
        <x:v>网络设备</x:v>
      </x:c>
      <x:c r="C20" s="207" t="str">
        <x:v>SNMP 是否采用、v3 等认证与读取权限、管理 IP；Community 通过安全渠道提供。</x:v>
      </x:c>
      <x:c r="D20" s="207" t="str">
        <x:v>确认设备/Pattern 支持与 SNMP 方式。</x:v>
      </x:c>
      <x:c r="E20" s="208"/>
      <x:c r="F20" s="208"/>
      <x:c r="G20" s="208"/>
      <x:c r="H20" s="207" t="str">
        <x:v>网络设备管理者</x:v>
      </x:c>
      <x:c r="I20" s="209" t="str">
        <x:v>S04</x:v>
      </x:c>
    </x:row>
    <x:row r="21" ht="72" customHeight="1">
      <x:c r="A21" s="206" t="str">
        <x:v>R14</x:v>
      </x:c>
      <x:c r="B21" s="207" t="str">
        <x:v>凭证管理</x:v>
      </x:c>
      <x:c r="C21" s="207" t="str">
        <x:v>保管/登记负责人、更新周期、失效通知；密码、私钥、Community 不写入本 Excel。</x:v>
      </x:c>
      <x:c r="D21" s="207" t="str">
        <x:v>使用经批准的凭证登记方式。</x:v>
      </x:c>
      <x:c r="E21" s="208"/>
      <x:c r="F21" s="208"/>
      <x:c r="G21" s="208"/>
      <x:c r="H21" s="207" t="str">
        <x:v>凭证管理者</x:v>
      </x:c>
      <x:c r="I21" s="209" t="str">
        <x:v>S07＋建议</x:v>
      </x:c>
    </x:row>
    <x:row r="22" ht="72" customHeight="1">
      <x:c r="A22" s="206" t="str">
        <x:v>R15</x:v>
      </x:c>
      <x:c r="B22" s="207" t="str">
        <x:v>ACC 安装（采用时）</x:v>
      </x:c>
      <x:c r="C22" s="207" t="str">
        <x:v>目标 OS/数量、Agent 常驻许可、安装/更新负责人及 CPU/RAM 影响评估。</x:v>
      </x:c>
      <x:c r="D22" s="207" t="str">
        <x:v>确定 ACC 版本、Policy 和目标；不采用则不适用。</x:v>
      </x:c>
      <x:c r="E22" s="208"/>
      <x:c r="F22" s="208"/>
      <x:c r="G22" s="208"/>
      <x:c r="H22" s="207" t="str">
        <x:v>服务器＋ITOM</x:v>
      </x:c>
      <x:c r="I22" s="209" t="str">
        <x:v>S03＋待确认</x:v>
      </x:c>
    </x:row>
    <x:row r="23" ht="72" customHeight="1">
      <x:c r="A23" s="206" t="str">
        <x:v>R16</x:v>
      </x:c>
      <x:c r="B23" s="207" t="str">
        <x:v>ACC Listener</x:v>
      </x:c>
      <x:c r="C23" s="207" t="str">
        <x:v>连接的 MID、实际端口、证书信任/FQDN 和允许的源地址。</x:v>
      </x:c>
      <x:c r="D23" s="207" t="str">
        <x:v>回填 PoC 的 backend-url、实际 Listener 端口及证书条件；各环境由 ITOM 配置并与网络负责人确认。</x:v>
      </x:c>
      <x:c r="E23" s="208"/>
      <x:c r="F23" s="208"/>
      <x:c r="G23" s="208"/>
      <x:c r="H23" s="207" t="str">
        <x:v>ITOM＋网络＋证书负责人</x:v>
      </x:c>
      <x:c r="I23" s="209" t="str">
        <x:v>S03</x:v>
      </x:c>
    </x:row>
    <x:row r="24" ht="72" customHeight="1">
      <x:c r="A24" s="206" t="str">
        <x:v>R17</x:v>
      </x:c>
      <x:c r="B24" s="207" t="str">
        <x:v>扫描接受条件</x:v>
      </x:c>
      <x:c r="C24" s="207" t="str">
        <x:v>扫描许可、IPS/IDS/EDR 通知、并行限制及对目标的影响。</x:v>
      </x:c>
      <x:c r="D24" s="207" t="str">
        <x:v>从少量代表目标逐步实施，确认必要的 Port Probe。</x:v>
      </x:c>
      <x:c r="E24" s="208"/>
      <x:c r="F24" s="208"/>
      <x:c r="G24" s="208"/>
      <x:c r="H24" s="207" t="str">
        <x:v>安全＋目标负责人</x:v>
      </x:c>
      <x:c r="I24" s="209" t="str">
        <x:v>S04/S17＋建议</x:v>
      </x:c>
    </x:row>
    <x:row r="25" ht="72" customHeight="1">
      <x:c r="A25" s="206" t="str">
        <x:v>R18</x:v>
      </x:c>
      <x:c r="B25" s="207" t="str">
        <x:v>时间 / 频率</x:v>
      </x:c>
      <x:c r="C25" s="207" t="str">
        <x:v>验证窗口、Discovery 频率、并行目标数以及 ACC Check 周期。</x:v>
      </x:c>
      <x:c r="D25" s="207" t="str">
        <x:v>将批准的条件反映到执行计划中。</x:v>
      </x:c>
      <x:c r="E25" s="208"/>
      <x:c r="F25" s="208"/>
      <x:c r="G25" s="208"/>
      <x:c r="H25" s="207" t="str">
        <x:v>目标负责人＋ITOM</x:v>
      </x:c>
      <x:c r="I25" s="209" t="str">
        <x:v>待确认</x:v>
      </x:c>
    </x:row>
    <x:row r="26" ht="110" customHeight="1">
      <x:c r="A26" s="206" t="str">
        <x:v>R19</x:v>
      </x:c>
      <x:c r="B26" s="207" t="str">
        <x:v>流量观测</x:v>
      </x:c>
      <x:c r="C26" s="207" t="str">
        <x:v>审查 ITOM 提供的 Azure PoC 流量及其测量条件，确认本环境回线、规模、频率和配置差异；如需现场复核，说明现有日志/监控条件。</x:v>
      </x:c>
      <x:c r="D26" s="207" t="str">
        <x:v>自行测量 Azure PoC 并提供第 04/05 页结果，说明 C13 与 C01 的观测边界、周期和原单位；现场复核另行协调。</x:v>
      </x:c>
      <x:c r="E26" s="208"/>
      <x:c r="F26" s="208"/>
      <x:c r="G26" s="208"/>
      <x:c r="H26" s="207" t="str">
        <x:v>ITOM 提供；网络/监控确认</x:v>
      </x:c>
      <x:c r="I26" s="209" t="str">
        <x:v>S11-S15</x:v>
      </x:c>
    </x:row>
    <x:row r="27" ht="110" customHeight="1">
      <x:c r="A27" s="206" t="str">
        <x:v>R20</x:v>
      </x:c>
      <x:c r="B27" s="207" t="str">
        <x:v>日志 / 保管</x:v>
      </x:c>
      <x:c r="C27" s="207" t="str">
        <x:v>日志位置、保管期、证据查看权限、个人与资产信息管理。</x:v>
      </x:c>
      <x:c r="D27" s="207" t="str">
        <x:v>提供可追溯的 PoC 配置、执行记录、Azure 指标/目标流证据和记录 ID；客户信息按批准位置保存。</x:v>
      </x:c>
      <x:c r="E27" s="208"/>
      <x:c r="F27" s="208"/>
      <x:c r="G27" s="208"/>
      <x:c r="H27" s="207" t="str">
        <x:v>安全＋ITOM</x:v>
      </x:c>
      <x:c r="I27" s="209" t="str">
        <x:v>待确认</x:v>
      </x:c>
    </x:row>
    <x:row r="28" ht="72" customHeight="1">
      <x:c r="A28" s="206" t="str">
        <x:v>R21</x:v>
      </x:c>
      <x:c r="B28" s="207" t="str">
        <x:v>停止 / 联系</x:v>
      </x:c>
      <x:c r="C28" s="207" t="str">
        <x:v>目标受影响或带宽异常时的停止条件、即时联系人、恢复/申请回退负责人。</x:v>
      </x:c>
      <x:c r="D28" s="207" t="str">
        <x:v>约定停止、重新开始和记录的责任。</x:v>
      </x:c>
      <x:c r="E28" s="208"/>
      <x:c r="F28" s="208"/>
      <x:c r="G28" s="208"/>
      <x:c r="H28" s="207" t="str">
        <x:v>环境责任人＋ITOM</x:v>
      </x:c>
      <x:c r="I28" s="209" t="str">
        <x:v>建议</x:v>
      </x:c>
    </x:row>
    <x:row r="29" ht="72" customHeight="1">
      <x:c r="A29" s="206" t="str">
        <x:v>R22</x:v>
      </x:c>
      <x:c r="B29" s="207" t="str">
        <x:v>日常运维</x:v>
      </x:c>
      <x:c r="C29" s="207" t="str">
        <x:v>MID 存活/容量监控、OS 补丁、MID/ACC 更新、备份/重建的分工。</x:v>
      </x:c>
      <x:c r="D29" s="207" t="str">
        <x:v>区分产品更新与 OS 维护，确定变更窗口和验证顺序。</x:v>
      </x:c>
      <x:c r="E29" s="208"/>
      <x:c r="F29" s="208"/>
      <x:c r="G29" s="208"/>
      <x:c r="H29" s="207" t="str">
        <x:v>运维＋ITOM</x:v>
      </x:c>
      <x:c r="I29" s="209" t="str">
        <x:v>S01/S02＋待确认</x:v>
      </x:c>
    </x:row>
    <x:row r="30" ht="72" customHeight="1">
      <x:c r="A30" s="206" t="str">
        <x:v>R23</x:v>
      </x:c>
      <x:c r="B30" s="207" t="str">
        <x:v>开始批准</x:v>
      </x:c>
      <x:c r="C30" s="207" t="str">
        <x:v>范围、方式、通信、认证、时间、停止与测量条件的未决点，以及能否开始。</x:v>
      </x:c>
      <x:c r="D30" s="207" t="str">
        <x:v>解决未决点后开始，记录批准人和日期。</x:v>
      </x:c>
      <x:c r="E30" s="208"/>
      <x:c r="F30" s="208"/>
      <x:c r="G30" s="208"/>
      <x:c r="H30" s="207" t="str">
        <x:v>环境责任人</x:v>
      </x:c>
      <x:c r="I30" s="209" t="str">
        <x:v>建议</x:v>
      </x:c>
    </x:row>
    <x:row r="31" ht="21" customHeight="1">
      <x:c r="A31" s="182"/>
      <x:c r="B31" s="183"/>
      <x:c r="C31" s="183"/>
      <x:c r="D31" s="183"/>
      <x:c r="E31" s="183"/>
      <x:c r="F31" s="183"/>
      <x:c r="G31" s="183"/>
      <x:c r="H31" s="183"/>
      <x:c r="I31" s="184"/>
    </x:row>
    <x:row r="32" ht="21" customHeight="1">
      <x:c r="A32" s="182"/>
      <x:c r="B32" s="183"/>
      <x:c r="C32" s="183"/>
      <x:c r="D32" s="183"/>
      <x:c r="E32" s="183"/>
      <x:c r="F32" s="183"/>
      <x:c r="G32" s="183"/>
      <x:c r="H32" s="183"/>
      <x:c r="I32" s="184"/>
    </x:row>
    <x:row r="33" ht="21" customHeight="1">
      <x:c r="A33" s="182"/>
      <x:c r="B33" s="183"/>
      <x:c r="C33" s="183"/>
      <x:c r="D33" s="183"/>
      <x:c r="E33" s="183"/>
      <x:c r="F33" s="183"/>
      <x:c r="G33" s="183"/>
      <x:c r="H33" s="183"/>
      <x:c r="I33" s="184"/>
    </x:row>
    <x:row r="34" ht="21" customHeight="1">
      <x:c r="A34" s="182"/>
      <x:c r="B34" s="183"/>
      <x:c r="C34" s="183"/>
      <x:c r="D34" s="183"/>
      <x:c r="E34" s="183"/>
      <x:c r="F34" s="183"/>
      <x:c r="G34" s="183"/>
      <x:c r="H34" s="183"/>
      <x:c r="I34" s="184"/>
    </x:row>
    <x:row r="35" ht="21" customHeight="1">
      <x:c r="A35" s="182"/>
      <x:c r="B35" s="183"/>
      <x:c r="C35" s="183"/>
      <x:c r="D35" s="183"/>
      <x:c r="E35" s="183"/>
      <x:c r="F35" s="183"/>
      <x:c r="G35" s="183"/>
      <x:c r="H35" s="183"/>
      <x:c r="I35" s="184"/>
    </x:row>
    <x:row r="36" ht="21" customHeight="1">
      <x:c r="A36" s="182"/>
      <x:c r="B36" s="183"/>
      <x:c r="C36" s="183"/>
      <x:c r="D36" s="183"/>
      <x:c r="E36" s="183"/>
      <x:c r="F36" s="183"/>
      <x:c r="G36" s="183"/>
      <x:c r="H36" s="183"/>
      <x:c r="I36" s="184"/>
    </x:row>
    <x:row r="37" ht="21" customHeight="1">
      <x:c r="A37" s="182"/>
      <x:c r="B37" s="183"/>
      <x:c r="C37" s="183"/>
      <x:c r="D37" s="183"/>
      <x:c r="E37" s="183"/>
      <x:c r="F37" s="183"/>
      <x:c r="G37" s="183"/>
      <x:c r="H37" s="183"/>
      <x:c r="I37" s="184"/>
    </x:row>
    <x:row r="38" ht="21" customHeight="1">
      <x:c r="A38" s="182"/>
      <x:c r="B38" s="183"/>
      <x:c r="C38" s="183"/>
      <x:c r="D38" s="183"/>
      <x:c r="E38" s="183"/>
      <x:c r="F38" s="183"/>
      <x:c r="G38" s="183"/>
      <x:c r="H38" s="183"/>
      <x:c r="I38" s="184"/>
    </x:row>
    <x:row r="39" ht="21" customHeight="1">
      <x:c r="A39" s="182"/>
      <x:c r="B39" s="183"/>
      <x:c r="C39" s="183"/>
      <x:c r="D39" s="183"/>
      <x:c r="E39" s="183"/>
      <x:c r="F39" s="183"/>
      <x:c r="G39" s="183"/>
      <x:c r="H39" s="183"/>
      <x:c r="I39" s="184"/>
    </x:row>
    <x:row r="40" ht="21" customHeight="1">
      <x:c r="A40" s="182"/>
      <x:c r="B40" s="183"/>
      <x:c r="C40" s="183"/>
      <x:c r="D40" s="183"/>
      <x:c r="E40" s="183"/>
      <x:c r="F40" s="183"/>
      <x:c r="G40" s="183"/>
      <x:c r="H40" s="183"/>
      <x:c r="I40" s="184"/>
    </x:row>
    <x:row r="41" ht="21" customHeight="1">
      <x:c r="A41" s="182"/>
      <x:c r="B41" s="183"/>
      <x:c r="C41" s="183"/>
      <x:c r="D41" s="183"/>
      <x:c r="E41" s="183"/>
      <x:c r="F41" s="183"/>
      <x:c r="G41" s="183"/>
      <x:c r="H41" s="183"/>
      <x:c r="I41" s="184"/>
    </x:row>
    <x:row r="42" ht="21" customHeight="1">
      <x:c r="A42" s="182"/>
      <x:c r="B42" s="183"/>
      <x:c r="C42" s="183"/>
      <x:c r="D42" s="183"/>
      <x:c r="E42" s="183"/>
      <x:c r="F42" s="183"/>
      <x:c r="G42" s="183"/>
      <x:c r="H42" s="183"/>
      <x:c r="I42" s="184"/>
    </x:row>
    <x:row r="43" ht="21" customHeight="1">
      <x:c r="A43" s="182"/>
      <x:c r="B43" s="183"/>
      <x:c r="C43" s="183"/>
      <x:c r="D43" s="183"/>
      <x:c r="E43" s="183"/>
      <x:c r="F43" s="183"/>
      <x:c r="G43" s="183"/>
      <x:c r="H43" s="183"/>
      <x:c r="I43" s="184"/>
    </x:row>
    <x:row r="44" ht="21" customHeight="1">
      <x:c r="A44" s="182"/>
      <x:c r="B44" s="183"/>
      <x:c r="C44" s="183"/>
      <x:c r="D44" s="183"/>
      <x:c r="E44" s="183"/>
      <x:c r="F44" s="183"/>
      <x:c r="G44" s="183"/>
      <x:c r="H44" s="183"/>
      <x:c r="I44" s="184"/>
    </x:row>
    <x:row r="45" ht="21" customHeight="1">
      <x:c r="A45" s="182"/>
      <x:c r="B45" s="183"/>
      <x:c r="C45" s="183"/>
      <x:c r="D45" s="183"/>
      <x:c r="E45" s="183"/>
      <x:c r="F45" s="183"/>
      <x:c r="G45" s="183"/>
      <x:c r="H45" s="183"/>
      <x:c r="I45" s="184"/>
    </x:row>
    <x:row r="46" ht="21" customHeight="1">
      <x:c r="A46" s="182"/>
      <x:c r="B46" s="183"/>
      <x:c r="C46" s="183"/>
      <x:c r="D46" s="183"/>
      <x:c r="E46" s="183"/>
      <x:c r="F46" s="183"/>
      <x:c r="G46" s="183"/>
      <x:c r="H46" s="183"/>
      <x:c r="I46" s="184"/>
    </x:row>
    <x:row r="47" ht="21" customHeight="1">
      <x:c r="A47" s="182"/>
      <x:c r="B47" s="183"/>
      <x:c r="C47" s="183"/>
      <x:c r="D47" s="183"/>
      <x:c r="E47" s="183"/>
      <x:c r="F47" s="183"/>
      <x:c r="G47" s="183"/>
      <x:c r="H47" s="183"/>
      <x:c r="I47" s="184"/>
    </x:row>
    <x:row r="48" ht="21" customHeight="1">
      <x:c r="A48" s="182"/>
      <x:c r="B48" s="183"/>
      <x:c r="C48" s="183"/>
      <x:c r="D48" s="183"/>
      <x:c r="E48" s="183"/>
      <x:c r="F48" s="183"/>
      <x:c r="G48" s="183"/>
      <x:c r="H48" s="183"/>
      <x:c r="I48" s="184"/>
    </x:row>
    <x:row r="49" ht="21" customHeight="1">
      <x:c r="A49" s="182"/>
      <x:c r="B49" s="183"/>
      <x:c r="C49" s="183"/>
      <x:c r="D49" s="183"/>
      <x:c r="E49" s="183"/>
      <x:c r="F49" s="183"/>
      <x:c r="G49" s="183"/>
      <x:c r="H49" s="183"/>
      <x:c r="I49" s="184"/>
    </x:row>
    <x:row r="50" ht="21" customHeight="1">
      <x:c r="A50" s="182"/>
      <x:c r="B50" s="183"/>
      <x:c r="C50" s="183"/>
      <x:c r="D50" s="183"/>
      <x:c r="E50" s="183"/>
      <x:c r="F50" s="183"/>
      <x:c r="G50" s="183"/>
      <x:c r="H50" s="183"/>
      <x:c r="I50" s="184"/>
    </x:row>
    <x:row r="51" ht="21" customHeight="1">
      <x:c r="A51" s="182"/>
      <x:c r="B51" s="183"/>
      <x:c r="C51" s="183"/>
      <x:c r="D51" s="183"/>
      <x:c r="E51" s="183"/>
      <x:c r="F51" s="183"/>
      <x:c r="G51" s="183"/>
      <x:c r="H51" s="183"/>
      <x:c r="I51" s="184"/>
    </x:row>
    <x:row r="52" ht="21" customHeight="1">
      <x:c r="A52" s="182"/>
      <x:c r="B52" s="183"/>
      <x:c r="C52" s="183"/>
      <x:c r="D52" s="183"/>
      <x:c r="E52" s="183"/>
      <x:c r="F52" s="183"/>
      <x:c r="G52" s="183"/>
      <x:c r="H52" s="183"/>
      <x:c r="I52" s="184"/>
    </x:row>
    <x:row r="53" ht="21" customHeight="1">
      <x:c r="A53" s="182"/>
      <x:c r="B53" s="183"/>
      <x:c r="C53" s="183"/>
      <x:c r="D53" s="183"/>
      <x:c r="E53" s="183"/>
      <x:c r="F53" s="183"/>
      <x:c r="G53" s="183"/>
      <x:c r="H53" s="183"/>
      <x:c r="I53" s="184"/>
    </x:row>
    <x:row r="54" ht="21" customHeight="1">
      <x:c r="A54" s="182"/>
      <x:c r="B54" s="183"/>
      <x:c r="C54" s="183"/>
      <x:c r="D54" s="183"/>
      <x:c r="E54" s="183"/>
      <x:c r="F54" s="183"/>
      <x:c r="G54" s="183"/>
      <x:c r="H54" s="183"/>
      <x:c r="I54" s="184"/>
    </x:row>
    <x:row r="55" ht="21" customHeight="1">
      <x:c r="A55" s="199"/>
      <x:c r="B55" s="200"/>
      <x:c r="C55" s="200"/>
      <x:c r="D55" s="200"/>
      <x:c r="E55" s="200"/>
      <x:c r="F55" s="200"/>
      <x:c r="G55" s="200"/>
      <x:c r="H55" s="200"/>
      <x:c r="I55" s="201"/>
    </x:row>
    <x:row r="56">
      <x:c r="A56" s="210"/>
      <x:c r="B56" s="210"/>
      <x:c r="C56" s="210"/>
      <x:c r="D56" s="210"/>
      <x:c r="E56" s="210"/>
      <x:c r="F56" s="210"/>
      <x:c r="G56" s="210"/>
      <x:c r="H56" s="210"/>
      <x:c r="I56" s="210"/>
    </x:row>
    <x:row r="57">
      <x:c r="A57" s="210"/>
      <x:c r="B57" s="210"/>
      <x:c r="C57" s="210"/>
      <x:c r="D57" s="210"/>
      <x:c r="E57" s="210"/>
      <x:c r="F57" s="210"/>
      <x:c r="G57" s="210"/>
      <x:c r="H57" s="210"/>
      <x:c r="I57" s="210"/>
    </x:row>
    <x:row r="58">
      <x:c r="A58" s="210"/>
      <x:c r="B58" s="210"/>
      <x:c r="C58" s="210"/>
      <x:c r="D58" s="210"/>
      <x:c r="E58" s="210"/>
      <x:c r="F58" s="210"/>
      <x:c r="G58" s="210"/>
      <x:c r="H58" s="210"/>
      <x:c r="I58" s="210"/>
    </x:row>
    <x:row r="59">
      <x:c r="A59" s="210"/>
      <x:c r="B59" s="210"/>
      <x:c r="C59" s="210"/>
      <x:c r="D59" s="210"/>
      <x:c r="E59" s="210"/>
      <x:c r="F59" s="210"/>
      <x:c r="G59" s="210"/>
      <x:c r="H59" s="210"/>
      <x:c r="I59" s="210"/>
    </x:row>
    <x:row r="60">
      <x:c r="A60" s="210"/>
      <x:c r="B60" s="210"/>
      <x:c r="C60" s="210"/>
      <x:c r="D60" s="210"/>
      <x:c r="E60" s="210"/>
      <x:c r="F60" s="210"/>
      <x:c r="G60" s="210"/>
      <x:c r="H60" s="210"/>
      <x:c r="I60" s="210"/>
    </x:row>
    <x:row r="61">
      <x:c r="A61" s="210"/>
      <x:c r="B61" s="210"/>
      <x:c r="C61" s="210"/>
      <x:c r="D61" s="210"/>
      <x:c r="E61" s="210"/>
      <x:c r="F61" s="210"/>
      <x:c r="G61" s="210"/>
      <x:c r="H61" s="210"/>
      <x:c r="I61" s="210"/>
    </x:row>
    <x:row r="62">
      <x:c r="A62" s="210"/>
      <x:c r="B62" s="210"/>
      <x:c r="C62" s="210"/>
      <x:c r="D62" s="210"/>
      <x:c r="E62" s="210"/>
      <x:c r="F62" s="210"/>
      <x:c r="G62" s="210"/>
      <x:c r="H62" s="210"/>
      <x:c r="I62" s="210"/>
    </x:row>
    <x:row r="63">
      <x:c r="A63" s="210"/>
      <x:c r="B63" s="210"/>
      <x:c r="C63" s="210"/>
      <x:c r="D63" s="210"/>
      <x:c r="E63" s="210"/>
      <x:c r="F63" s="210"/>
      <x:c r="G63" s="210"/>
      <x:c r="H63" s="210"/>
      <x:c r="I63" s="210"/>
    </x:row>
    <x:row r="64">
      <x:c r="A64" s="210"/>
      <x:c r="B64" s="210"/>
      <x:c r="C64" s="210"/>
      <x:c r="D64" s="210"/>
      <x:c r="E64" s="210"/>
      <x:c r="F64" s="210"/>
      <x:c r="G64" s="210"/>
      <x:c r="H64" s="210"/>
      <x:c r="I64" s="210"/>
    </x:row>
    <x:row r="65">
      <x:c r="A65" s="210"/>
      <x:c r="B65" s="210"/>
      <x:c r="C65" s="210"/>
      <x:c r="D65" s="210"/>
      <x:c r="E65" s="210"/>
      <x:c r="F65" s="210"/>
      <x:c r="G65" s="210"/>
      <x:c r="H65" s="210"/>
      <x:c r="I65" s="210"/>
    </x:row>
    <x:row r="66">
      <x:c r="A66" s="210"/>
      <x:c r="B66" s="210"/>
      <x:c r="C66" s="210"/>
      <x:c r="D66" s="210"/>
      <x:c r="E66" s="210"/>
      <x:c r="F66" s="210"/>
      <x:c r="G66" s="210"/>
      <x:c r="H66" s="210"/>
      <x:c r="I66" s="210"/>
    </x:row>
    <x:row r="67">
      <x:c r="A67" s="210"/>
      <x:c r="B67" s="210"/>
      <x:c r="C67" s="210"/>
      <x:c r="D67" s="210"/>
      <x:c r="E67" s="210"/>
      <x:c r="F67" s="210"/>
      <x:c r="G67" s="210"/>
      <x:c r="H67" s="210"/>
      <x:c r="I67" s="210"/>
    </x:row>
    <x:row r="68">
      <x:c r="A68" s="210"/>
      <x:c r="B68" s="210"/>
      <x:c r="C68" s="210"/>
      <x:c r="D68" s="210"/>
      <x:c r="E68" s="210"/>
      <x:c r="F68" s="210"/>
      <x:c r="G68" s="210"/>
      <x:c r="H68" s="210"/>
      <x:c r="I68" s="210"/>
    </x:row>
    <x:row r="69">
      <x:c r="A69" s="210"/>
      <x:c r="B69" s="210"/>
      <x:c r="C69" s="210"/>
      <x:c r="D69" s="210"/>
      <x:c r="E69" s="210"/>
      <x:c r="F69" s="210"/>
      <x:c r="G69" s="210"/>
      <x:c r="H69" s="210"/>
      <x:c r="I69" s="210"/>
    </x:row>
    <x:row r="70">
      <x:c r="A70" s="210"/>
      <x:c r="B70" s="210"/>
      <x:c r="C70" s="210"/>
      <x:c r="D70" s="210"/>
      <x:c r="E70" s="210"/>
      <x:c r="F70" s="210"/>
      <x:c r="G70" s="210"/>
      <x:c r="H70" s="210"/>
      <x:c r="I70" s="210"/>
    </x:row>
    <x:row r="71">
      <x:c r="A71" s="210"/>
      <x:c r="B71" s="210"/>
      <x:c r="C71" s="210"/>
      <x:c r="D71" s="210"/>
      <x:c r="E71" s="210"/>
      <x:c r="F71" s="210"/>
      <x:c r="G71" s="210"/>
      <x:c r="H71" s="210"/>
      <x:c r="I71" s="210"/>
    </x:row>
    <x:row r="72">
      <x:c r="A72" s="210"/>
      <x:c r="B72" s="210"/>
      <x:c r="C72" s="210"/>
      <x:c r="D72" s="210"/>
      <x:c r="E72" s="210"/>
      <x:c r="F72" s="210"/>
      <x:c r="G72" s="210"/>
      <x:c r="H72" s="210"/>
      <x:c r="I72" s="210"/>
    </x:row>
    <x:row r="73">
      <x:c r="A73" s="210"/>
      <x:c r="B73" s="210"/>
      <x:c r="C73" s="210"/>
      <x:c r="D73" s="210"/>
      <x:c r="E73" s="210"/>
      <x:c r="F73" s="210"/>
      <x:c r="G73" s="210"/>
      <x:c r="H73" s="210"/>
      <x:c r="I73" s="210"/>
    </x:row>
    <x:row r="74">
      <x:c r="A74" s="210"/>
      <x:c r="B74" s="210"/>
      <x:c r="C74" s="210"/>
      <x:c r="D74" s="210"/>
      <x:c r="E74" s="210"/>
      <x:c r="F74" s="210"/>
      <x:c r="G74" s="210"/>
      <x:c r="H74" s="210"/>
      <x:c r="I74" s="210"/>
    </x:row>
    <x:row r="75">
      <x:c r="A75" s="210"/>
      <x:c r="B75" s="210"/>
      <x:c r="C75" s="210"/>
      <x:c r="D75" s="210"/>
      <x:c r="E75" s="210"/>
      <x:c r="F75" s="210"/>
      <x:c r="G75" s="210"/>
      <x:c r="H75" s="210"/>
      <x:c r="I75" s="210"/>
    </x:row>
    <x:row r="76">
      <x:c r="A76" s="210"/>
      <x:c r="B76" s="210"/>
      <x:c r="C76" s="210"/>
      <x:c r="D76" s="210"/>
      <x:c r="E76" s="210"/>
      <x:c r="F76" s="210"/>
      <x:c r="G76" s="210"/>
      <x:c r="H76" s="210"/>
      <x:c r="I76" s="210"/>
    </x:row>
    <x:row r="77">
      <x:c r="A77" s="210"/>
      <x:c r="B77" s="210"/>
      <x:c r="C77" s="210"/>
      <x:c r="D77" s="210"/>
      <x:c r="E77" s="210"/>
      <x:c r="F77" s="210"/>
      <x:c r="G77" s="210"/>
      <x:c r="H77" s="210"/>
      <x:c r="I77" s="210"/>
    </x:row>
    <x:row r="78">
      <x:c r="A78" s="210"/>
      <x:c r="B78" s="210"/>
      <x:c r="C78" s="210"/>
      <x:c r="D78" s="210"/>
      <x:c r="E78" s="210"/>
      <x:c r="F78" s="210"/>
      <x:c r="G78" s="210"/>
      <x:c r="H78" s="210"/>
      <x:c r="I78" s="210"/>
    </x:row>
    <x:row r="79">
      <x:c r="A79" s="210"/>
      <x:c r="B79" s="210"/>
      <x:c r="C79" s="210"/>
      <x:c r="D79" s="210"/>
      <x:c r="E79" s="210"/>
      <x:c r="F79" s="210"/>
      <x:c r="G79" s="210"/>
      <x:c r="H79" s="210"/>
      <x:c r="I79" s="210"/>
    </x:row>
    <x:row r="80">
      <x:c r="A80" s="210"/>
      <x:c r="B80" s="210"/>
      <x:c r="C80" s="210"/>
      <x:c r="D80" s="210"/>
      <x:c r="E80" s="210"/>
      <x:c r="F80" s="210"/>
      <x:c r="G80" s="210"/>
      <x:c r="H80" s="210"/>
      <x:c r="I80" s="210"/>
    </x:row>
    <x:row r="81">
      <x:c r="A81" s="210"/>
      <x:c r="B81" s="210"/>
      <x:c r="C81" s="210"/>
      <x:c r="D81" s="210"/>
      <x:c r="E81" s="210"/>
      <x:c r="F81" s="210"/>
      <x:c r="G81" s="210"/>
      <x:c r="H81" s="210"/>
      <x:c r="I81" s="210"/>
    </x:row>
    <x:row r="82">
      <x:c r="A82" s="210"/>
      <x:c r="B82" s="210"/>
      <x:c r="C82" s="210"/>
      <x:c r="D82" s="210"/>
      <x:c r="E82" s="210"/>
      <x:c r="F82" s="210"/>
      <x:c r="G82" s="210"/>
      <x:c r="H82" s="210"/>
      <x:c r="I82" s="210"/>
    </x:row>
    <x:row r="83">
      <x:c r="A83" s="210"/>
      <x:c r="B83" s="210"/>
      <x:c r="C83" s="210"/>
      <x:c r="D83" s="210"/>
      <x:c r="E83" s="210"/>
      <x:c r="F83" s="210"/>
      <x:c r="G83" s="210"/>
      <x:c r="H83" s="210"/>
      <x:c r="I83" s="210"/>
    </x:row>
    <x:row r="84">
      <x:c r="A84" s="210"/>
      <x:c r="B84" s="210"/>
      <x:c r="C84" s="210"/>
      <x:c r="D84" s="210"/>
      <x:c r="E84" s="210"/>
      <x:c r="F84" s="210"/>
      <x:c r="G84" s="210"/>
      <x:c r="H84" s="210"/>
      <x:c r="I84" s="210"/>
    </x:row>
    <x:row r="85">
      <x:c r="A85" s="210"/>
      <x:c r="B85" s="210"/>
      <x:c r="C85" s="210"/>
      <x:c r="D85" s="210"/>
      <x:c r="E85" s="210"/>
      <x:c r="F85" s="210"/>
      <x:c r="G85" s="210"/>
      <x:c r="H85" s="210"/>
      <x:c r="I85" s="210"/>
    </x:row>
    <x:row r="86">
      <x:c r="A86" s="210"/>
      <x:c r="B86" s="210"/>
      <x:c r="C86" s="210"/>
      <x:c r="D86" s="210"/>
      <x:c r="E86" s="210"/>
      <x:c r="F86" s="210"/>
      <x:c r="G86" s="210"/>
      <x:c r="H86" s="210"/>
      <x:c r="I86" s="210"/>
    </x:row>
    <x:row r="87">
      <x:c r="A87" s="210"/>
      <x:c r="B87" s="210"/>
      <x:c r="C87" s="210"/>
      <x:c r="D87" s="210"/>
      <x:c r="E87" s="210"/>
      <x:c r="F87" s="210"/>
      <x:c r="G87" s="210"/>
      <x:c r="H87" s="210"/>
      <x:c r="I87" s="210"/>
    </x:row>
    <x:row r="88">
      <x:c r="A88" s="210"/>
      <x:c r="B88" s="210"/>
      <x:c r="C88" s="210"/>
      <x:c r="D88" s="210"/>
      <x:c r="E88" s="210"/>
      <x:c r="F88" s="210"/>
      <x:c r="G88" s="210"/>
      <x:c r="H88" s="210"/>
      <x:c r="I88" s="210"/>
    </x:row>
    <x:row r="89">
      <x:c r="A89" s="210"/>
      <x:c r="B89" s="210"/>
      <x:c r="C89" s="210"/>
      <x:c r="D89" s="210"/>
      <x:c r="E89" s="210"/>
      <x:c r="F89" s="210"/>
      <x:c r="G89" s="210"/>
      <x:c r="H89" s="210"/>
      <x:c r="I89" s="210"/>
    </x:row>
    <x:row r="90">
      <x:c r="A90" s="210"/>
      <x:c r="B90" s="210"/>
      <x:c r="C90" s="210"/>
      <x:c r="D90" s="210"/>
      <x:c r="E90" s="210"/>
      <x:c r="F90" s="210"/>
      <x:c r="G90" s="210"/>
      <x:c r="H90" s="210"/>
      <x:c r="I90" s="210"/>
    </x:row>
    <x:row r="91">
      <x:c r="A91" s="210"/>
      <x:c r="B91" s="210"/>
      <x:c r="C91" s="210"/>
      <x:c r="D91" s="210"/>
      <x:c r="E91" s="210"/>
      <x:c r="F91" s="210"/>
      <x:c r="G91" s="210"/>
      <x:c r="H91" s="210"/>
      <x:c r="I91" s="210"/>
    </x:row>
    <x:row r="92">
      <x:c r="A92" s="210"/>
      <x:c r="B92" s="210"/>
      <x:c r="C92" s="210"/>
      <x:c r="D92" s="210"/>
      <x:c r="E92" s="210"/>
      <x:c r="F92" s="210"/>
      <x:c r="G92" s="210"/>
      <x:c r="H92" s="210"/>
      <x:c r="I92" s="210"/>
    </x:row>
    <x:row r="93">
      <x:c r="A93" s="210"/>
      <x:c r="B93" s="210"/>
      <x:c r="C93" s="210"/>
      <x:c r="D93" s="210"/>
      <x:c r="E93" s="210"/>
      <x:c r="F93" s="210"/>
      <x:c r="G93" s="210"/>
      <x:c r="H93" s="210"/>
      <x:c r="I93" s="210"/>
    </x:row>
    <x:row r="94">
      <x:c r="A94" s="210"/>
      <x:c r="B94" s="210"/>
      <x:c r="C94" s="210"/>
      <x:c r="D94" s="210"/>
      <x:c r="E94" s="210"/>
      <x:c r="F94" s="210"/>
      <x:c r="G94" s="210"/>
      <x:c r="H94" s="210"/>
      <x:c r="I94" s="210"/>
    </x:row>
    <x:row r="95">
      <x:c r="A95" s="210"/>
      <x:c r="B95" s="210"/>
      <x:c r="C95" s="210"/>
      <x:c r="D95" s="210"/>
      <x:c r="E95" s="210"/>
      <x:c r="F95" s="210"/>
      <x:c r="G95" s="210"/>
      <x:c r="H95" s="210"/>
      <x:c r="I95" s="210"/>
    </x:row>
    <x:row r="96">
      <x:c r="A96" s="210"/>
      <x:c r="B96" s="210"/>
      <x:c r="C96" s="210"/>
      <x:c r="D96" s="210"/>
      <x:c r="E96" s="210"/>
      <x:c r="F96" s="210"/>
      <x:c r="G96" s="210"/>
      <x:c r="H96" s="210"/>
      <x:c r="I96" s="210"/>
    </x:row>
    <x:row r="97">
      <x:c r="A97" s="210"/>
      <x:c r="B97" s="210"/>
      <x:c r="C97" s="210"/>
      <x:c r="D97" s="210"/>
      <x:c r="E97" s="210"/>
      <x:c r="F97" s="210"/>
      <x:c r="G97" s="210"/>
      <x:c r="H97" s="210"/>
      <x:c r="I97" s="210"/>
    </x:row>
    <x:row r="98">
      <x:c r="A98" s="210"/>
      <x:c r="B98" s="210"/>
      <x:c r="C98" s="210"/>
      <x:c r="D98" s="210"/>
      <x:c r="E98" s="210"/>
      <x:c r="F98" s="210"/>
      <x:c r="G98" s="210"/>
      <x:c r="H98" s="210"/>
      <x:c r="I98" s="210"/>
    </x:row>
    <x:row r="99">
      <x:c r="A99" s="210"/>
      <x:c r="B99" s="210"/>
      <x:c r="C99" s="210"/>
      <x:c r="D99" s="210"/>
      <x:c r="E99" s="210"/>
      <x:c r="F99" s="210"/>
      <x:c r="G99" s="210"/>
      <x:c r="H99" s="210"/>
      <x:c r="I99" s="210"/>
    </x:row>
    <x:row r="100">
      <x:c r="A100" s="210"/>
      <x:c r="B100" s="210"/>
      <x:c r="C100" s="210"/>
      <x:c r="D100" s="210"/>
      <x:c r="E100" s="210"/>
      <x:c r="F100" s="210"/>
      <x:c r="G100" s="210"/>
      <x:c r="H100" s="210"/>
      <x:c r="I100" s="210"/>
    </x:row>
  </x:sheetData>
  <x:mergeCells>
    <x:mergeCell ref="A2:I2"/>
    <x:mergeCell ref="A3:I3"/>
    <x:mergeCell ref="A5:I5"/>
  </x:mergeCells>
  <x:pageMargins left="0.7" right="0.7" top="0.75" bottom="0.75" header="0.3" footer="0.3"/>
  <x:tableParts count="1">
    <x:tablePart xmlns:r="http://schemas.openxmlformats.org/officeDocument/2006/relationships" r:id="R1eb2b588140f4e91"/>
  </x:tableParts>
</x:worksheet>
</file>

<file path=xl/worksheets/sheet3.xml><?xml version="1.0" encoding="utf-8"?>
<x:worksheet xmlns:x="http://schemas.openxmlformats.org/spreadsheetml/2006/main">
  <x:sheetPr>
    <x:tabColor rgb="FF44444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.130000114440918" hidden="0" customWidth="1"/>
    <x:col min="2" max="2" width="16.25" hidden="0" customWidth="1"/>
    <x:col min="3" max="3" width="22.5" hidden="0" customWidth="1"/>
    <x:col min="4" max="4" width="29.3799991607666" hidden="0" customWidth="1"/>
    <x:col min="5" max="5" width="22.5" hidden="0" customWidth="1"/>
    <x:col min="6" max="6" width="33.75" hidden="0" customWidth="1"/>
    <x:col min="7" max="7" width="40" hidden="0" customWidth="1"/>
    <x:col min="8" max="8" width="28.75" hidden="0" customWidth="1"/>
    <x:col min="9" max="9" width="16.25" hidden="0" customWidth="1"/>
    <x:col min="10" max="10" width="15" hidden="0" customWidth="1"/>
  </x:cols>
  <x:sheetData>
    <x:row r="1" ht="21" customHeight="1">
      <x:c r="A1" s="173"/>
      <x:c r="B1" s="174"/>
      <x:c r="C1" s="174"/>
      <x:c r="D1" s="174"/>
      <x:c r="E1" s="174"/>
      <x:c r="F1" s="174"/>
      <x:c r="G1" s="174"/>
      <x:c r="H1" s="174"/>
      <x:c r="I1" s="174"/>
      <x:c r="J1" s="175"/>
    </x:row>
    <x:row r="2" ht="30" customHeight="1">
      <x:c r="A2" s="176" t="str">
        <x:v>通信要求与防火墙确认表</x:v>
      </x:c>
      <x:c r="B2" s="177" t="str">
        <x:v>通信要求与防火墙确认表</x:v>
      </x:c>
      <x:c r="C2" s="177" t="str">
        <x:v>通信要求与防火墙确认表</x:v>
      </x:c>
      <x:c r="D2" s="177" t="str">
        <x:v>通信要求与防火墙确认表</x:v>
      </x:c>
      <x:c r="E2" s="177" t="str">
        <x:v>通信要求与防火墙确认表</x:v>
      </x:c>
      <x:c r="F2" s="177" t="str">
        <x:v>通信要求与防火墙确认表</x:v>
      </x:c>
      <x:c r="G2" s="177" t="str">
        <x:v>通信要求与防火墙确认表</x:v>
      </x:c>
      <x:c r="H2" s="177" t="str">
        <x:v>通信要求与防火墙确认表</x:v>
      </x:c>
      <x:c r="I2" s="177" t="str">
        <x:v>通信要求与防火墙确认表</x:v>
      </x:c>
      <x:c r="J2" s="178" t="str">
        <x:v>通信要求与防火墙确认表</x:v>
      </x:c>
    </x:row>
    <x:row r="3" ht="42" customHeight="1">
      <x:c r="A3" s="179" t="str">
        <x:v>ITOM 提供通信要件。浅灰栏由 ITOM 回填 PoC 实际值及证据，环境负责人追加本环境差异/申请并判断放行；目的端口为目标监听端口。</x:v>
      </x:c>
      <x:c r="B3" s="180" t="str">
        <x:v>ITOM 提供通信要件。浅灰栏由 ITOM 回填 PoC 实际值及证据，环境负责人追加本环境差异/申请并判断放行；目的端口为目标监听端口。</x:v>
      </x:c>
      <x:c r="C3" s="180" t="str">
        <x:v>ITOM 提供通信要件。浅灰栏由 ITOM 回填 PoC 实际值及证据，环境负责人追加本环境差异/申请并判断放行；目的端口为目标监听端口。</x:v>
      </x:c>
      <x:c r="D3" s="180" t="str">
        <x:v>ITOM 提供通信要件。浅灰栏由 ITOM 回填 PoC 实际值及证据，环境负责人追加本环境差异/申请并判断放行；目的端口为目标监听端口。</x:v>
      </x:c>
      <x:c r="E3" s="180" t="str">
        <x:v>ITOM 提供通信要件。浅灰栏由 ITOM 回填 PoC 实际值及证据，环境负责人追加本环境差异/申请并判断放行；目的端口为目标监听端口。</x:v>
      </x:c>
      <x:c r="F3" s="180" t="str">
        <x:v>ITOM 提供通信要件。浅灰栏由 ITOM 回填 PoC 实际值及证据，环境负责人追加本环境差异/申请并判断放行；目的端口为目标监听端口。</x:v>
      </x:c>
      <x:c r="G3" s="180" t="str">
        <x:v>ITOM 提供通信要件。浅灰栏由 ITOM 回填 PoC 实际值及证据，环境负责人追加本环境差异/申请并判断放行；目的端口为目标监听端口。</x:v>
      </x:c>
      <x:c r="H3" s="180" t="str">
        <x:v>ITOM 提供通信要件。浅灰栏由 ITOM 回填 PoC 实际值及证据，环境负责人追加本环境差异/申请并判断放行；目的端口为目标监听端口。</x:v>
      </x:c>
      <x:c r="I3" s="180" t="str">
        <x:v>ITOM 提供通信要件。浅灰栏由 ITOM 回填 PoC 实际值及证据，环境负责人追加本环境差异/申请并判断放行；目的端口为目标监听端口。</x:v>
      </x:c>
      <x:c r="J3" s="181" t="str">
        <x:v>ITOM 提供通信要件。浅灰栏由 ITOM 回填 PoC 实际值及证据，环境负责人追加本环境差异/申请并判断放行；目的端口为目标监听端口。</x:v>
      </x:c>
    </x:row>
    <x:row r="4" ht="21" customHeight="1">
      <x:c r="A4" s="182"/>
      <x:c r="B4" s="183"/>
      <x:c r="C4" s="183"/>
      <x:c r="D4" s="183"/>
      <x:c r="E4" s="183"/>
      <x:c r="F4" s="183"/>
      <x:c r="G4" s="183"/>
      <x:c r="H4" s="183"/>
      <x:c r="I4" s="183"/>
      <x:c r="J4" s="184"/>
    </x:row>
    <x:row r="5" ht="65" customHeight="1">
      <x:c r="A5" s="191" t="str">
        <x:v>通信 ID 是本资料第 03/04/05 页的共同关联键。ITOM 根据 PoC 的 acc.yml、MID Listener、Instance URL 和实际日志提供采用值与验证状态；环境方确认路由、地址和许可。仅填写默认端口或“链路已完成”，不等于各行均已验证或批准。</x:v>
      </x:c>
      <x:c r="B5" s="192" t="str">
        <x:v>通信 ID 是本资料第 03/04/05 页的共同关联键。ITOM 根据 PoC 的 acc.yml、MID Listener、Instance URL 和实际日志提供采用值与验证状态；环境方确认路由、地址和许可。仅填写默认端口或“链路已完成”，不等于各行均已验证或批准。</x:v>
      </x:c>
      <x:c r="C5" s="192" t="str">
        <x:v>通信 ID 是本资料第 03/04/05 页的共同关联键。ITOM 根据 PoC 的 acc.yml、MID Listener、Instance URL 和实际日志提供采用值与验证状态；环境方确认路由、地址和许可。仅填写默认端口或“链路已完成”，不等于各行均已验证或批准。</x:v>
      </x:c>
      <x:c r="D5" s="192" t="str">
        <x:v>通信 ID 是本资料第 03/04/05 页的共同关联键。ITOM 根据 PoC 的 acc.yml、MID Listener、Instance URL 和实际日志提供采用值与验证状态；环境方确认路由、地址和许可。仅填写默认端口或“链路已完成”，不等于各行均已验证或批准。</x:v>
      </x:c>
      <x:c r="E5" s="192" t="str">
        <x:v>通信 ID 是本资料第 03/04/05 页的共同关联键。ITOM 根据 PoC 的 acc.yml、MID Listener、Instance URL 和实际日志提供采用值与验证状态；环境方确认路由、地址和许可。仅填写默认端口或“链路已完成”，不等于各行均已验证或批准。</x:v>
      </x:c>
      <x:c r="F5" s="192" t="str">
        <x:v>通信 ID 是本资料第 03/04/05 页的共同关联键。ITOM 根据 PoC 的 acc.yml、MID Listener、Instance URL 和实际日志提供采用值与验证状态；环境方确认路由、地址和许可。仅填写默认端口或“链路已完成”，不等于各行均已验证或批准。</x:v>
      </x:c>
      <x:c r="G5" s="192" t="str">
        <x:v>通信 ID 是本资料第 03/04/05 页的共同关联键。ITOM 根据 PoC 的 acc.yml、MID Listener、Instance URL 和实际日志提供采用值与验证状态；环境方确认路由、地址和许可。仅填写默认端口或“链路已完成”，不等于各行均已验证或批准。</x:v>
      </x:c>
      <x:c r="H5" s="192" t="str">
        <x:v>通信 ID 是本资料第 03/04/05 页的共同关联键。ITOM 根据 PoC 的 acc.yml、MID Listener、Instance URL 和实际日志提供采用值与验证状态；环境方确认路由、地址和许可。仅填写默认端口或“链路已完成”，不等于各行均已验证或批准。</x:v>
      </x:c>
      <x:c r="I5" s="192" t="str">
        <x:v>通信 ID 是本资料第 03/04/05 页的共同关联键。ITOM 根据 PoC 的 acc.yml、MID Listener、Instance URL 和实际日志提供采用值与验证状态；环境方确认路由、地址和许可。仅填写默认端口或“链路已完成”，不等于各行均已验证或批准。</x:v>
      </x:c>
      <x:c r="J5" s="193" t="str">
        <x:v>通信 ID 是本资料第 03/04/05 页的共同关联键。ITOM 根据 PoC 的 acc.yml、MID Listener、Instance URL 和实际日志提供采用值与验证状态；环境方确认路由、地址和许可。仅填写默认端口或“链路已完成”，不等于各行均已验证或批准。</x:v>
      </x:c>
    </x:row>
    <x:row r="6" ht="21" customHeight="1">
      <x:c r="A6" s="182"/>
      <x:c r="B6" s="183"/>
      <x:c r="C6" s="183"/>
      <x:c r="D6" s="183"/>
      <x:c r="E6" s="183"/>
      <x:c r="F6" s="183"/>
      <x:c r="G6" s="183"/>
      <x:c r="H6" s="183"/>
      <x:c r="I6" s="183"/>
      <x:c r="J6" s="184"/>
    </x:row>
    <x:row r="7" ht="33" customHeight="1">
      <x:c r="A7" s="188" t="str">
        <x:v>ID</x:v>
      </x:c>
      <x:c r="B7" s="189" t="str">
        <x:v>适用条件</x:v>
      </x:c>
      <x:c r="C7" s="189" t="str">
        <x:v>源地址 / 设备</x:v>
      </x:c>
      <x:c r="D7" s="189" t="str">
        <x:v>目的地址 / 设备</x:v>
      </x:c>
      <x:c r="E7" s="189" t="str">
        <x:v>协议 / 目的端口</x:v>
      </x:c>
      <x:c r="F7" s="189" t="str">
        <x:v>用途与发生时机</x:v>
      </x:c>
      <x:c r="G7" s="189" t="str">
        <x:v>确认条件与注意事项</x:v>
      </x:c>
      <x:c r="H7" s="189" t="str">
        <x:v>ITOM 提供值 / 环境差异与申请</x:v>
      </x:c>
      <x:c r="I7" s="189" t="str">
        <x:v>放行判断</x:v>
      </x:c>
      <x:c r="J7" s="190" t="str">
        <x:v>依据</x:v>
      </x:c>
    </x:row>
    <x:row r="8" ht="86.25" customHeight="1">
      <x:c r="A8" s="202" t="str">
        <x:v>C01</x:v>
      </x:c>
      <x:c r="B8" s="203" t="str">
        <x:v>必需（选择路径）</x:v>
      </x:c>
      <x:c r="C8" s="203" t="str">
        <x:v>MID Server</x:v>
      </x:c>
      <x:c r="D8" s="203" t="str">
        <x:v>&lt;instance&gt;.service-now.com</x:v>
      </x:c>
      <x:c r="E8" s="203" t="str">
        <x:v>HTTPS / TCP 443</x:v>
      </x:c>
      <x:c r="F8" s="203" t="str">
        <x:v>与 Instance 交换任务、提交结果；正常运行时。</x:v>
      </x:c>
      <x:c r="G8" s="203" t="str">
        <x:v>直接连接时的物理路径。使用 Proxy 时，C03 为第一跳，C01 是逻辑目的地。无需 SaaS→MID 主动新建连接。</x:v>
      </x:c>
      <x:c r="H8" s="204" t="str">
        <x:v>PoC 实际值 / 记录 ID：待 ITOM 提供
本环境差异 / 申请编号：待环境确认</x:v>
      </x:c>
      <x:c r="I8" s="204" t="str">
        <x:v>未确认</x:v>
      </x:c>
      <x:c r="J8" s="211" t="str">
        <x:v>S01
01_事项概览
参见官方来源</x:v>
      </x:c>
    </x:row>
    <x:row r="9" ht="86.25" customHeight="1">
      <x:c r="A9" s="206" t="str">
        <x:v>C02</x:v>
      </x:c>
      <x:c r="B9" s="207" t="str">
        <x:v>安装 / 更新时</x:v>
      </x:c>
      <x:c r="C9" s="207" t="str">
        <x:v>MID Server</x:v>
      </x:c>
      <x:c r="D9" s="207" t="str">
        <x:v>install.service-now.com</x:v>
      </x:c>
      <x:c r="E9" s="207" t="str">
        <x:v>HTTPS / TCP 443</x:v>
      </x:c>
      <x:c r="F9" s="207" t="str">
        <x:v>MID 下载与更新；与正常 Discovery 分开。</x:v>
      </x:c>
      <x:c r="G9" s="207" t="str">
        <x:v>确认内部更新政策、Proxy 路径及实际目的地。不要把更新期流量混入正常运行值。</x:v>
      </x:c>
      <x:c r="H9" s="208" t="str">
        <x:v>PoC 实际值 / 记录 ID：待 ITOM 提供
本环境差异 / 申请编号：待环境确认</x:v>
      </x:c>
      <x:c r="I9" s="208" t="str">
        <x:v>未确认</x:v>
      </x:c>
      <x:c r="J9" s="212" t="str">
        <x:v>S01
01_事项概览
参见官方来源</x:v>
      </x:c>
    </x:row>
    <x:row r="10" ht="86.25" customHeight="1">
      <x:c r="A10" s="206" t="str">
        <x:v>C03</x:v>
      </x:c>
      <x:c r="B10" s="207" t="str">
        <x:v>使用 Proxy 时</x:v>
      </x:c>
      <x:c r="C10" s="207" t="str">
        <x:v>MID Server</x:v>
      </x:c>
      <x:c r="D10" s="207" t="str">
        <x:v>&lt;Proxy IP/FQDN&gt;</x:v>
      </x:c>
      <x:c r="E10" s="207" t="str">
        <x:v>TCP &lt;Proxy 实际端口&gt;</x:v>
      </x:c>
      <x:c r="F10" s="207" t="str">
        <x:v>通过 Proxy 连接 C01/C02 等目的地。</x:v>
      </x:c>
      <x:c r="G10" s="207" t="str">
        <x:v>目的端口按 Proxy 实际配置。MID→Proxy 不一定使用 443；同时确认认证、CONNECT 和 TLS 检查。</x:v>
      </x:c>
      <x:c r="H10" s="208"/>
      <x:c r="I10" s="208" t="str">
        <x:v>未确认</x:v>
      </x:c>
      <x:c r="J10" s="212" t="str">
        <x:v>S06
01_事项概览
参见官方来源</x:v>
      </x:c>
    </x:row>
    <x:row r="11" ht="86.25" customHeight="1">
      <x:c r="A11" s="206" t="str">
        <x:v>C04</x:v>
      </x:c>
      <x:c r="B11" s="207" t="str">
        <x:v>需要名称解析时</x:v>
      </x:c>
      <x:c r="C11" s="207" t="str">
        <x:v>MID Server</x:v>
      </x:c>
      <x:c r="D11" s="207" t="str">
        <x:v>&lt;批准的 DNS Server&gt;</x:v>
      </x:c>
      <x:c r="E11" s="207" t="str">
        <x:v>DNS / UDP 53 + TCP 53</x:v>
      </x:c>
      <x:c r="F11" s="207" t="str">
        <x:v>解析 Instance、Proxy 和目标名称等。</x:v>
      </x:c>
      <x:c r="G11" s="207" t="str">
        <x:v>使用批准的现有 DNS，包含 TCP fallback。即使目标采用 IP，也要核对 Instance FQDN 的解析需要。</x:v>
      </x:c>
      <x:c r="H11" s="208"/>
      <x:c r="I11" s="208" t="str">
        <x:v>未确认</x:v>
      </x:c>
      <x:c r="J11" s="212" t="str">
        <x:v>S09
01_事项概览
参见官方来源</x:v>
      </x:c>
    </x:row>
    <x:row r="12" ht="86.25" customHeight="1">
      <x:c r="A12" s="206" t="str">
        <x:v>C05</x:v>
      </x:c>
      <x:c r="B12" s="207" t="str">
        <x:v>ACC＋FQDN 时</x:v>
      </x:c>
      <x:c r="C12" s="207" t="str">
        <x:v>ACC 目标 VM</x:v>
      </x:c>
      <x:c r="D12" s="207" t="str">
        <x:v>&lt;批准的 DNS Server&gt;</x:v>
      </x:c>
      <x:c r="E12" s="207" t="str">
        <x:v>DNS / UDP 53 + TCP 53</x:v>
      </x:c>
      <x:c r="F12" s="207" t="str">
        <x:v>解析 MID Listener 的 FQDN。</x:v>
      </x:c>
      <x:c r="G12" s="207" t="str">
        <x:v>如果 ACC→MID 使用 IP，本用途可能不适用。与 OS 等其他 DNS 通信需求分开判断。</x:v>
      </x:c>
      <x:c r="H12" s="208" t="str">
        <x:v>PoC 实际值 / 记录 ID：待 ITOM 提供
本环境差异 / 申请编号：待环境确认</x:v>
      </x:c>
      <x:c r="I12" s="208" t="str">
        <x:v>未确认</x:v>
      </x:c>
      <x:c r="J12" s="212" t="str">
        <x:v>S09
01_事项概览
参见官方来源</x:v>
      </x:c>
    </x:row>
    <x:row r="13" ht="86.25" customHeight="1">
      <x:c r="A13" s="206" t="str">
        <x:v>C06</x:v>
      </x:c>
      <x:c r="B13" s="207" t="str">
        <x:v>Linux/Unix 方式</x:v>
      </x:c>
      <x:c r="C13" s="207" t="str">
        <x:v>MID Server</x:v>
      </x:c>
      <x:c r="D13" s="207" t="str">
        <x:v>&lt;Linux/Unix 目标 IP&gt;</x:v>
      </x:c>
      <x:c r="E13" s="207" t="str">
        <x:v>SSH / TCP 22（核对实际配置）</x:v>
      </x:c>
      <x:c r="F13" s="207" t="str">
        <x:v>认证后获取 OS、配置与应用信息。</x:v>
      </x:c>
      <x:c r="G13" s="207" t="str">
        <x:v>非标准 SSH 端口的支持与配置按 Pattern/Probe 核对；同时确认 sudo、密钥和访问限制。</x:v>
      </x:c>
      <x:c r="H13" s="208"/>
      <x:c r="I13" s="208" t="str">
        <x:v>未确认</x:v>
      </x:c>
      <x:c r="J13" s="212" t="str">
        <x:v>S04
01_事项概览
参见官方来源</x:v>
      </x:c>
    </x:row>
    <x:row r="14" ht="86.25" customHeight="1">
      <x:c r="A14" s="206" t="str">
        <x:v>C07</x:v>
      </x:c>
      <x:c r="B14" s="207" t="str">
        <x:v>Windows WMI 方式</x:v>
      </x:c>
      <x:c r="C14" s="207" t="str">
        <x:v>MID Server</x:v>
      </x:c>
      <x:c r="D14" s="207" t="str">
        <x:v>&lt;Windows 目标 IP&gt;</x:v>
      </x:c>
      <x:c r="E14" s="207" t="str">
        <x:v>RPC Endpoint Mapper / TCP 135</x:v>
      </x:c>
      <x:c r="F14" s="207" t="str">
        <x:v>开始 WMI/DCOM 连接。</x:v>
      </x:c>
      <x:c r="G14" s="207" t="str">
        <x:v>仅 135 不一定完成全部处理。C08/C09 仍按实际实现判断。</x:v>
      </x:c>
      <x:c r="H14" s="208"/>
      <x:c r="I14" s="208" t="str">
        <x:v>未确认</x:v>
      </x:c>
      <x:c r="J14" s="212" t="str">
        <x:v>S04
01_事项概览
参见官方来源</x:v>
      </x:c>
    </x:row>
    <x:row r="15" ht="86.25" customHeight="1">
      <x:c r="A15" s="206" t="str">
        <x:v>C08</x:v>
      </x:c>
      <x:c r="B15" s="207" t="str">
        <x:v>Windows WMI 方式</x:v>
      </x:c>
      <x:c r="C15" s="207" t="str">
        <x:v>MID Server</x:v>
      </x:c>
      <x:c r="D15" s="207" t="str">
        <x:v>&lt;Windows 目标 IP&gt;</x:v>
      </x:c>
      <x:c r="E15" s="207" t="str">
        <x:v>RPC 动态端口 / TCP &lt;实际范围&gt;</x:v>
      </x:c>
      <x:c r="F15" s="207" t="str">
        <x:v>建立连接后的 RPC/WMI 处理。</x:v>
      </x:c>
      <x:c r="G15" s="207" t="str">
        <x:v>当前 Windows 常见默认范围为 49152–65535；按 OS 版本、范围限制和实现核对实际值，并确认方向和回调需求。</x:v>
      </x:c>
      <x:c r="H15" s="208"/>
      <x:c r="I15" s="208" t="str">
        <x:v>未确认</x:v>
      </x:c>
      <x:c r="J15" s="212" t="str">
        <x:v>S10
01_事项概览
参见官方来源</x:v>
      </x:c>
    </x:row>
    <x:row r="16" ht="86.25" customHeight="1">
      <x:c r="A16" s="206" t="str">
        <x:v>C09</x:v>
      </x:c>
      <x:c r="B16" s="207" t="str">
        <x:v>按 Windows 实现</x:v>
      </x:c>
      <x:c r="C16" s="207" t="str">
        <x:v>MID Server</x:v>
      </x:c>
      <x:c r="D16" s="207" t="str">
        <x:v>&lt;Windows 目标 IP&gt;</x:v>
      </x:c>
      <x:c r="E16" s="207" t="str">
        <x:v>SMB / TCP 445</x:v>
      </x:c>
      <x:c r="F16" s="207" t="str">
        <x:v>使用 SMB、文件访问等的处理。</x:v>
      </x:c>
      <x:c r="G16" s="207" t="str">
        <x:v>按 Pattern/Probe/PowerShell 实现核对必要性；不能仅因采用 WinRM 就认定 445 一定不需要。</x:v>
      </x:c>
      <x:c r="H16" s="208"/>
      <x:c r="I16" s="208" t="str">
        <x:v>未确认</x:v>
      </x:c>
      <x:c r="J16" s="212" t="str">
        <x:v>S04
01_事项概览
参见官方来源</x:v>
      </x:c>
    </x:row>
    <x:row r="17" ht="86.25" customHeight="1">
      <x:c r="A17" s="206" t="str">
        <x:v>C10</x:v>
      </x:c>
      <x:c r="B17" s="207" t="str">
        <x:v>采用 WinRM HTTPS</x:v>
      </x:c>
      <x:c r="C17" s="207" t="str">
        <x:v>MID Server</x:v>
      </x:c>
      <x:c r="D17" s="207" t="str">
        <x:v>&lt;Windows 目标 IP&gt;</x:v>
      </x:c>
      <x:c r="E17" s="207" t="str">
        <x:v>WinRM HTTPS / TCP 5986（实际配置）</x:v>
      </x:c>
      <x:c r="F17" s="207" t="str">
        <x:v>选用时的 Windows 远程管理。</x:v>
      </x:c>
      <x:c r="G17" s="207" t="str">
        <x:v>确认从默认 WMI 切换、目标 Listener、证书信任及 MID SSL 设置。5986 并非全部 Windows Discovery 的默认必需端口。</x:v>
      </x:c>
      <x:c r="H17" s="208"/>
      <x:c r="I17" s="208" t="str">
        <x:v>未确认</x:v>
      </x:c>
      <x:c r="J17" s="212" t="str">
        <x:v>S06
01_事项概览
参见官方来源</x:v>
      </x:c>
    </x:row>
    <x:row r="18" ht="86.25" customHeight="1">
      <x:c r="A18" s="206" t="str">
        <x:v>C11</x:v>
      </x:c>
      <x:c r="B18" s="207" t="str">
        <x:v>采用 WinRM HTTP</x:v>
      </x:c>
      <x:c r="C18" s="207" t="str">
        <x:v>MID Server</x:v>
      </x:c>
      <x:c r="D18" s="207" t="str">
        <x:v>&lt;Windows 目标 IP&gt;</x:v>
      </x:c>
      <x:c r="E18" s="207" t="str">
        <x:v>WinRM HTTP / TCP 5985（实际配置）</x:v>
      </x:c>
      <x:c r="F18" s="207" t="str">
        <x:v>选用 HTTP Listener 时的另一方式。</x:v>
      </x:c>
      <x:c r="G18" s="207" t="str">
        <x:v>不无条件同时放行 C10 与 C11。按内部标准判断采用方式、认证与保护条件，完成设置和连通验证。</x:v>
      </x:c>
      <x:c r="H18" s="208"/>
      <x:c r="I18" s="208" t="str">
        <x:v>未确认</x:v>
      </x:c>
      <x:c r="J18" s="212" t="str">
        <x:v>S05
01_事项概览
参见官方来源</x:v>
      </x:c>
    </x:row>
    <x:row r="19" ht="86.25" customHeight="1">
      <x:c r="A19" s="206" t="str">
        <x:v>C12</x:v>
      </x:c>
      <x:c r="B19" s="207" t="str">
        <x:v>采用 SNMP 时</x:v>
      </x:c>
      <x:c r="C19" s="207" t="str">
        <x:v>MID Server</x:v>
      </x:c>
      <x:c r="D19" s="207" t="str">
        <x:v>&lt;网络设备管理 IP&gt;</x:v>
      </x:c>
      <x:c r="E19" s="207" t="str">
        <x:v>SNMP / UDP 161（实际配置）</x:v>
      </x:c>
      <x:c r="F19" s="207" t="str">
        <x:v>读取设备管理信息。</x:v>
      </x:c>
      <x:c r="G19" s="207" t="str">
        <x:v>读取权限、v3 等按环境标准确认。SNMP Trap UDP 162 不是本行 Discovery Polling 的必需端口。</x:v>
      </x:c>
      <x:c r="H19" s="208"/>
      <x:c r="I19" s="208" t="str">
        <x:v>未确认</x:v>
      </x:c>
      <x:c r="J19" s="212" t="str">
        <x:v>S04
01_事项概览
参见官方来源</x:v>
      </x:c>
    </x:row>
    <x:row r="20" ht="125" customHeight="1">
      <x:c r="A20" s="206" t="str">
        <x:v>C13</x:v>
      </x:c>
      <x:c r="B20" s="207" t="str">
        <x:v>采用 ACC 时</x:v>
      </x:c>
      <x:c r="C20" s="207" t="str">
        <x:v>ACC 目标 VM</x:v>
      </x:c>
      <x:c r="D20" s="207" t="str">
        <x:v>&lt;MID IP/FQDN&gt;</x:v>
      </x:c>
      <x:c r="E20" s="207" t="str">
        <x:v>WSS / TCP &lt;Listener 实际端口&gt;</x:v>
      </x:c>
      <x:c r="F20" s="207" t="str">
        <x:v>ACC Agent→MID WebSocket Listener（MID Web Server）。</x:v>
      </x:c>
      <x:c r="G20" s="207" t="str">
        <x:v>ITOM 从 PoC acc.yml 的 backend-url 与 MID Listener 回填实际地址/端口，核对证书信任和允许来源。Setup ACC Listener 默认 8800 可修改。单台链路测试已完成（实施方说明），具体条件与证据待回填。</x:v>
      </x:c>
      <x:c r="H20" s="208" t="str">
        <x:v>PoC 实际值 / 记录 ID：待 ITOM 提供
本环境差异 / 申请编号：待环境确认</x:v>
      </x:c>
      <x:c r="I20" s="208" t="str">
        <x:v>未确认</x:v>
      </x:c>
      <x:c r="J20" s="212" t="str">
        <x:v>S03/S18
01_事项概览
官方来源 + PoC 回填</x:v>
      </x:c>
    </x:row>
    <x:row r="21" ht="86.25" customHeight="1">
      <x:c r="A21" s="206" t="str">
        <x:v>C14</x:v>
      </x:c>
      <x:c r="B21" s="207" t="str">
        <x:v>安装 / 证书验证时</x:v>
      </x:c>
      <x:c r="C21" s="207" t="str">
        <x:v>MID Server / 安装环境</x:v>
      </x:c>
      <x:c r="D21" s="207" t="str">
        <x:v>&lt;证书吊销状态查询目的地&gt;</x:v>
      </x:c>
      <x:c r="E21" s="207" t="str">
        <x:v>HTTP TCP 80 等（核对实际 URL）</x:v>
      </x:c>
      <x:c r="F21" s="207" t="str">
        <x:v>OCSP 等证书验证所需通信。</x:v>
      </x:c>
      <x:c r="G21" s="207" t="str">
        <x:v>按证书 AIA 和实际日志确认所需目的地，并考虑 Proxy/TLS 检查。不要一律关闭吊销状态验证。</x:v>
      </x:c>
      <x:c r="H21" s="208"/>
      <x:c r="I21" s="208" t="str">
        <x:v>未确认</x:v>
      </x:c>
      <x:c r="J21" s="212" t="str">
        <x:v>S08
01_事项概览
参见官方来源</x:v>
      </x:c>
    </x:row>
    <x:row r="22" ht="86.25" customHeight="1">
      <x:c r="A22" s="206" t="str">
        <x:v>C15</x:v>
      </x:c>
      <x:c r="B22" s="207" t="str">
        <x:v>需要时间同步时</x:v>
      </x:c>
      <x:c r="C22" s="207" t="str">
        <x:v>MID / 目标 VM</x:v>
      </x:c>
      <x:c r="D22" s="207" t="str">
        <x:v>&lt;批准的时间同步源&gt;</x:v>
      </x:c>
      <x:c r="E22" s="207" t="str">
        <x:v>NTP / UDP 123 等（核对方式）</x:v>
      </x:c>
      <x:c r="F22" s="207" t="str">
        <x:v>保证认证、证书和测量时间一致。</x:v>
      </x:c>
      <x:c r="G22" s="207" t="str">
        <x:v>优先使用现有 OS/Domain/VM 平台方式。本行为运维建议，不是 ServiceNow 固有必需端口。</x:v>
      </x:c>
      <x:c r="H22" s="208"/>
      <x:c r="I22" s="208" t="str">
        <x:v>未确认</x:v>
      </x:c>
      <x:c r="J22" s="212" t="str">
        <x:v>S09
01_事项概览
参见官方来源</x:v>
      </x:c>
    </x:row>
    <x:row r="23" ht="86.25" customHeight="1">
      <x:c r="A23" s="206" t="str">
        <x:v>C16</x:v>
      </x:c>
      <x:c r="B23" s="207" t="str">
        <x:v>使用 Domain 时</x:v>
      </x:c>
      <x:c r="C23" s="207" t="str">
        <x:v>MID / Windows 目标</x:v>
      </x:c>
      <x:c r="D23" s="207" t="str">
        <x:v>&lt;Domain 基础设施&gt;</x:v>
      </x:c>
      <x:c r="E23" s="207" t="str">
        <x:v>AD 相关 / &lt;批准的实际端口&gt;</x:v>
      </x:c>
      <x:c r="F23" s="207" t="str">
        <x:v>Domain 认证、名称解析、域加入与管理。</x:v>
      </x:c>
      <x:c r="G23" s="207" t="str">
        <x:v>按环境现有 AD 通信表确认，依据实际配置判断 LDAP/Kerberos/RPC 等。不要一次申请所有端口。</x:v>
      </x:c>
      <x:c r="H23" s="208"/>
      <x:c r="I23" s="208" t="str">
        <x:v>未确认</x:v>
      </x:c>
      <x:c r="J23" s="212" t="str">
        <x:v>S09
01_事项概览
参见官方来源</x:v>
      </x:c>
    </x:row>
    <x:row r="24" ht="86.25" customHeight="1">
      <x:c r="A24" s="206" t="str">
        <x:v>C17</x:v>
      </x:c>
      <x:c r="B24" s="207" t="str">
        <x:v>执行 IP Range 时</x:v>
      </x:c>
      <x:c r="C24" s="207" t="str">
        <x:v>MID Server</x:v>
      </x:c>
      <x:c r="D24" s="207" t="str">
        <x:v>&lt;批准的目标 IP/CIDR&gt;</x:v>
      </x:c>
      <x:c r="E24" s="207" t="str">
        <x:v>Port scan / &lt;启用 Probe 的实际端口组&gt;</x:v>
      </x:c>
      <x:c r="F24" s="207" t="str">
        <x:v>Shazzam 初始扫描与分类。</x:v>
      </x:c>
      <x:c r="G24" s="207" t="str">
        <x:v>除认证端口外，还要核对启用的 Port Probe/Behavior。22/135/161/80/443 等只是举例，不是全部放行要求。约定排除范围、IDS 通知和执行条件。</x:v>
      </x:c>
      <x:c r="H24" s="208"/>
      <x:c r="I24" s="208" t="str">
        <x:v>未确认</x:v>
      </x:c>
      <x:c r="J24" s="212" t="str">
        <x:v>S17
01_事项概览
参见官方来源</x:v>
      </x:c>
    </x:row>
    <x:row r="25" ht="86.25" customHeight="1">
      <x:c r="A25" s="206" t="str">
        <x:v>C18</x:v>
      </x:c>
      <x:c r="B25" s="207" t="str">
        <x:v>追加应用等目标</x:v>
      </x:c>
      <x:c r="C25" s="207" t="str">
        <x:v>MID Server</x:v>
      </x:c>
      <x:c r="D25" s="207" t="str">
        <x:v>&lt;Pattern/API 目标&gt;</x:v>
      </x:c>
      <x:c r="E25" s="207" t="str">
        <x:v>TCP/UDP &lt;单独所需端口&gt;</x:v>
      </x:c>
      <x:c r="F25" s="207" t="str">
        <x:v>额外获取应用、DB、虚拟化等数据。</x:v>
      </x:c>
      <x:c r="G25" s="207" t="str">
        <x:v>ITOM 按实际目标与 Pattern/API 提供对应的追加端口、频率及验证结果；由环境负责人确认地址、适用性与许可。</x:v>
      </x:c>
      <x:c r="H25" s="208"/>
      <x:c r="I25" s="208" t="str">
        <x:v>未确认</x:v>
      </x:c>
      <x:c r="J25" s="212" t="str">
        <x:v>S16
01_事项概览
参见官方来源</x:v>
      </x:c>
    </x:row>
    <x:row r="26" ht="86.25" customHeight="1">
      <x:c r="A26" s="206" t="str">
        <x:v>C19</x:v>
      </x:c>
      <x:c r="B26" s="207" t="str">
        <x:v>管理用途（单独路径）</x:v>
      </x:c>
      <x:c r="C26" s="207" t="str">
        <x:v>&lt;批准的跳板机等&gt;</x:v>
      </x:c>
      <x:c r="D26" s="207" t="str">
        <x:v>MID / 目标 VM</x:v>
      </x:c>
      <x:c r="E26" s="207" t="str">
        <x:v>RDP TCP 3389 / SSH TCP 22 等</x:v>
      </x:c>
      <x:c r="F26" s="207" t="str">
        <x:v>安装、维护和故障处理时的管理连接。</x:v>
      </x:c>
      <x:c r="G26" s="207" t="str">
        <x:v>不是 Discovery 采集通信。沿用批准的 Bastion/跳板机路径与权限，不以直接向 Internet 公开为前提。</x:v>
      </x:c>
      <x:c r="H26" s="208"/>
      <x:c r="I26" s="208" t="str">
        <x:v>未确认</x:v>
      </x:c>
      <x:c r="J26" s="209" t="str">
        <x:v>建议</x:v>
      </x:c>
    </x:row>
    <x:row r="27" ht="86.25" customHeight="1">
      <x:c r="A27" s="206" t="str">
        <x:v>C20</x:v>
      </x:c>
      <x:c r="B27" s="207" t="str">
        <x:v>安装 / OS 更新时</x:v>
      </x:c>
      <x:c r="C27" s="207" t="str">
        <x:v>MID / 目标 VM</x:v>
      </x:c>
      <x:c r="D27" s="207" t="str">
        <x:v>&lt;批准的软件分发 / 更新源&gt;</x:v>
      </x:c>
      <x:c r="E27" s="207" t="str">
        <x:v>TCP &lt;内部软件分发的实际端口&gt;</x:v>
      </x:c>
      <x:c r="F27" s="207" t="str">
        <x:v>ACC/OS 等配布、安装和更新。</x:v>
      </x:c>
      <x:c r="G27" s="207" t="str">
        <x:v>ITOM 提供 PoC 实际下载/配布方式及目的地址；客户环境确认批准的软件分发路径。与 C02 的 MID 更新分开，安装/更新流量不混入正常运行值。</x:v>
      </x:c>
      <x:c r="H27" s="208" t="str">
        <x:v>PoC 实际值 / 记录 ID：待 ITOM 提供
本环境差异 / 申请编号：待环境确认</x:v>
      </x:c>
      <x:c r="I27" s="208" t="str">
        <x:v>未确认</x:v>
      </x:c>
      <x:c r="J27" s="209" t="str">
        <x:v>待确认</x:v>
      </x:c>
    </x:row>
    <x:row r="28" ht="21" customHeight="1">
      <x:c r="A28" s="182"/>
      <x:c r="B28" s="183"/>
      <x:c r="C28" s="183"/>
      <x:c r="D28" s="183"/>
      <x:c r="E28" s="183"/>
      <x:c r="F28" s="183"/>
      <x:c r="G28" s="183"/>
      <x:c r="H28" s="183"/>
      <x:c r="I28" s="183"/>
      <x:c r="J28" s="184"/>
    </x:row>
    <x:row r="29" ht="21" customHeight="1">
      <x:c r="A29" s="182"/>
      <x:c r="B29" s="183"/>
      <x:c r="C29" s="183"/>
      <x:c r="D29" s="183"/>
      <x:c r="E29" s="183"/>
      <x:c r="F29" s="183"/>
      <x:c r="G29" s="183"/>
      <x:c r="H29" s="183"/>
      <x:c r="I29" s="183"/>
      <x:c r="J29" s="184"/>
    </x:row>
    <x:row r="30" ht="21" customHeight="1">
      <x:c r="A30" s="182"/>
      <x:c r="B30" s="183"/>
      <x:c r="C30" s="183"/>
      <x:c r="D30" s="183"/>
      <x:c r="E30" s="183"/>
      <x:c r="F30" s="183"/>
      <x:c r="G30" s="183"/>
      <x:c r="H30" s="183"/>
      <x:c r="I30" s="183"/>
      <x:c r="J30" s="184"/>
    </x:row>
    <x:row r="31" ht="21" customHeight="1">
      <x:c r="A31" s="182"/>
      <x:c r="B31" s="183"/>
      <x:c r="C31" s="183"/>
      <x:c r="D31" s="183"/>
      <x:c r="E31" s="183"/>
      <x:c r="F31" s="183"/>
      <x:c r="G31" s="183"/>
      <x:c r="H31" s="183"/>
      <x:c r="I31" s="183"/>
      <x:c r="J31" s="184"/>
    </x:row>
    <x:row r="32" ht="21" customHeight="1">
      <x:c r="A32" s="182"/>
      <x:c r="B32" s="183"/>
      <x:c r="C32" s="183"/>
      <x:c r="D32" s="183"/>
      <x:c r="E32" s="183"/>
      <x:c r="F32" s="183"/>
      <x:c r="G32" s="183"/>
      <x:c r="H32" s="183"/>
      <x:c r="I32" s="183"/>
      <x:c r="J32" s="184"/>
    </x:row>
    <x:row r="33" ht="21" customHeight="1">
      <x:c r="A33" s="182"/>
      <x:c r="B33" s="183"/>
      <x:c r="C33" s="183"/>
      <x:c r="D33" s="183"/>
      <x:c r="E33" s="183"/>
      <x:c r="F33" s="183"/>
      <x:c r="G33" s="183"/>
      <x:c r="H33" s="183"/>
      <x:c r="I33" s="183"/>
      <x:c r="J33" s="184"/>
    </x:row>
    <x:row r="34" ht="21" customHeight="1">
      <x:c r="A34" s="182"/>
      <x:c r="B34" s="183"/>
      <x:c r="C34" s="183"/>
      <x:c r="D34" s="183"/>
      <x:c r="E34" s="183"/>
      <x:c r="F34" s="183"/>
      <x:c r="G34" s="183"/>
      <x:c r="H34" s="183"/>
      <x:c r="I34" s="183"/>
      <x:c r="J34" s="184"/>
    </x:row>
    <x:row r="35" ht="21" customHeight="1">
      <x:c r="A35" s="182"/>
      <x:c r="B35" s="183"/>
      <x:c r="C35" s="183"/>
      <x:c r="D35" s="183"/>
      <x:c r="E35" s="183"/>
      <x:c r="F35" s="183"/>
      <x:c r="G35" s="183"/>
      <x:c r="H35" s="183"/>
      <x:c r="I35" s="183"/>
      <x:c r="J35" s="184"/>
    </x:row>
    <x:row r="36" ht="21" customHeight="1">
      <x:c r="A36" s="182"/>
      <x:c r="B36" s="183"/>
      <x:c r="C36" s="183"/>
      <x:c r="D36" s="183"/>
      <x:c r="E36" s="183"/>
      <x:c r="F36" s="183"/>
      <x:c r="G36" s="183"/>
      <x:c r="H36" s="183"/>
      <x:c r="I36" s="183"/>
      <x:c r="J36" s="184"/>
    </x:row>
    <x:row r="37" ht="21" customHeight="1">
      <x:c r="A37" s="182"/>
      <x:c r="B37" s="183"/>
      <x:c r="C37" s="183"/>
      <x:c r="D37" s="183"/>
      <x:c r="E37" s="183"/>
      <x:c r="F37" s="183"/>
      <x:c r="G37" s="183"/>
      <x:c r="H37" s="183"/>
      <x:c r="I37" s="183"/>
      <x:c r="J37" s="184"/>
    </x:row>
    <x:row r="38" ht="21" customHeight="1">
      <x:c r="A38" s="182"/>
      <x:c r="B38" s="183"/>
      <x:c r="C38" s="183"/>
      <x:c r="D38" s="183"/>
      <x:c r="E38" s="183"/>
      <x:c r="F38" s="183"/>
      <x:c r="G38" s="183"/>
      <x:c r="H38" s="183"/>
      <x:c r="I38" s="183"/>
      <x:c r="J38" s="184"/>
    </x:row>
    <x:row r="39" ht="21" customHeight="1">
      <x:c r="A39" s="182"/>
      <x:c r="B39" s="183"/>
      <x:c r="C39" s="183"/>
      <x:c r="D39" s="183"/>
      <x:c r="E39" s="183"/>
      <x:c r="F39" s="183"/>
      <x:c r="G39" s="183"/>
      <x:c r="H39" s="183"/>
      <x:c r="I39" s="183"/>
      <x:c r="J39" s="184"/>
    </x:row>
    <x:row r="40" ht="21" customHeight="1">
      <x:c r="A40" s="182"/>
      <x:c r="B40" s="183"/>
      <x:c r="C40" s="183"/>
      <x:c r="D40" s="183"/>
      <x:c r="E40" s="183"/>
      <x:c r="F40" s="183"/>
      <x:c r="G40" s="183"/>
      <x:c r="H40" s="183"/>
      <x:c r="I40" s="183"/>
      <x:c r="J40" s="184"/>
    </x:row>
    <x:row r="41" ht="21" customHeight="1">
      <x:c r="A41" s="182"/>
      <x:c r="B41" s="183"/>
      <x:c r="C41" s="183"/>
      <x:c r="D41" s="183"/>
      <x:c r="E41" s="183"/>
      <x:c r="F41" s="183"/>
      <x:c r="G41" s="183"/>
      <x:c r="H41" s="183"/>
      <x:c r="I41" s="183"/>
      <x:c r="J41" s="184"/>
    </x:row>
    <x:row r="42" ht="21" customHeight="1">
      <x:c r="A42" s="182"/>
      <x:c r="B42" s="183"/>
      <x:c r="C42" s="183"/>
      <x:c r="D42" s="183"/>
      <x:c r="E42" s="183"/>
      <x:c r="F42" s="183"/>
      <x:c r="G42" s="183"/>
      <x:c r="H42" s="183"/>
      <x:c r="I42" s="183"/>
      <x:c r="J42" s="184"/>
    </x:row>
    <x:row r="43" ht="21" customHeight="1">
      <x:c r="A43" s="182"/>
      <x:c r="B43" s="183"/>
      <x:c r="C43" s="183"/>
      <x:c r="D43" s="183"/>
      <x:c r="E43" s="183"/>
      <x:c r="F43" s="183"/>
      <x:c r="G43" s="183"/>
      <x:c r="H43" s="183"/>
      <x:c r="I43" s="183"/>
      <x:c r="J43" s="184"/>
    </x:row>
    <x:row r="44" ht="21" customHeight="1">
      <x:c r="A44" s="182"/>
      <x:c r="B44" s="183"/>
      <x:c r="C44" s="183"/>
      <x:c r="D44" s="183"/>
      <x:c r="E44" s="183"/>
      <x:c r="F44" s="183"/>
      <x:c r="G44" s="183"/>
      <x:c r="H44" s="183"/>
      <x:c r="I44" s="183"/>
      <x:c r="J44" s="184"/>
    </x:row>
    <x:row r="45" ht="21" customHeight="1">
      <x:c r="A45" s="182"/>
      <x:c r="B45" s="183"/>
      <x:c r="C45" s="183"/>
      <x:c r="D45" s="183"/>
      <x:c r="E45" s="183"/>
      <x:c r="F45" s="183"/>
      <x:c r="G45" s="183"/>
      <x:c r="H45" s="183"/>
      <x:c r="I45" s="183"/>
      <x:c r="J45" s="184"/>
    </x:row>
    <x:row r="46" ht="21" customHeight="1">
      <x:c r="A46" s="182"/>
      <x:c r="B46" s="183"/>
      <x:c r="C46" s="183"/>
      <x:c r="D46" s="183"/>
      <x:c r="E46" s="183"/>
      <x:c r="F46" s="183"/>
      <x:c r="G46" s="183"/>
      <x:c r="H46" s="183"/>
      <x:c r="I46" s="183"/>
      <x:c r="J46" s="184"/>
    </x:row>
    <x:row r="47" ht="21" customHeight="1">
      <x:c r="A47" s="182"/>
      <x:c r="B47" s="183"/>
      <x:c r="C47" s="183"/>
      <x:c r="D47" s="183"/>
      <x:c r="E47" s="183"/>
      <x:c r="F47" s="183"/>
      <x:c r="G47" s="183"/>
      <x:c r="H47" s="183"/>
      <x:c r="I47" s="183"/>
      <x:c r="J47" s="184"/>
    </x:row>
    <x:row r="48" ht="21" customHeight="1">
      <x:c r="A48" s="182"/>
      <x:c r="B48" s="183"/>
      <x:c r="C48" s="183"/>
      <x:c r="D48" s="183"/>
      <x:c r="E48" s="183"/>
      <x:c r="F48" s="183"/>
      <x:c r="G48" s="183"/>
      <x:c r="H48" s="183"/>
      <x:c r="I48" s="183"/>
      <x:c r="J48" s="184"/>
    </x:row>
    <x:row r="49" ht="21" customHeight="1">
      <x:c r="A49" s="182"/>
      <x:c r="B49" s="183"/>
      <x:c r="C49" s="183"/>
      <x:c r="D49" s="183"/>
      <x:c r="E49" s="183"/>
      <x:c r="F49" s="183"/>
      <x:c r="G49" s="183"/>
      <x:c r="H49" s="183"/>
      <x:c r="I49" s="183"/>
      <x:c r="J49" s="184"/>
    </x:row>
    <x:row r="50" ht="21" customHeight="1">
      <x:c r="A50" s="199"/>
      <x:c r="B50" s="200"/>
      <x:c r="C50" s="200"/>
      <x:c r="D50" s="200"/>
      <x:c r="E50" s="200"/>
      <x:c r="F50" s="200"/>
      <x:c r="G50" s="200"/>
      <x:c r="H50" s="200"/>
      <x:c r="I50" s="200"/>
      <x:c r="J50" s="201"/>
    </x:row>
    <x:row r="51">
      <x:c r="A51" s="210"/>
      <x:c r="B51" s="210"/>
      <x:c r="C51" s="210"/>
      <x:c r="D51" s="210"/>
      <x:c r="E51" s="210"/>
      <x:c r="F51" s="210"/>
      <x:c r="G51" s="210"/>
      <x:c r="H51" s="210"/>
      <x:c r="I51" s="210"/>
      <x:c r="J51" s="210"/>
    </x:row>
    <x:row r="52">
      <x:c r="A52" s="210"/>
      <x:c r="B52" s="210"/>
      <x:c r="C52" s="210"/>
      <x:c r="D52" s="210"/>
      <x:c r="E52" s="210"/>
      <x:c r="F52" s="210"/>
      <x:c r="G52" s="210"/>
      <x:c r="H52" s="210"/>
      <x:c r="I52" s="210"/>
      <x:c r="J52" s="210"/>
    </x:row>
    <x:row r="53">
      <x:c r="A53" s="210"/>
      <x:c r="B53" s="210"/>
      <x:c r="C53" s="210"/>
      <x:c r="D53" s="210"/>
      <x:c r="E53" s="210"/>
      <x:c r="F53" s="210"/>
      <x:c r="G53" s="210"/>
      <x:c r="H53" s="210"/>
      <x:c r="I53" s="210"/>
      <x:c r="J53" s="210"/>
    </x:row>
    <x:row r="54">
      <x:c r="A54" s="210"/>
      <x:c r="B54" s="210"/>
      <x:c r="C54" s="210"/>
      <x:c r="D54" s="210"/>
      <x:c r="E54" s="210"/>
      <x:c r="F54" s="210"/>
      <x:c r="G54" s="210"/>
      <x:c r="H54" s="210"/>
      <x:c r="I54" s="210"/>
      <x:c r="J54" s="210"/>
    </x:row>
    <x:row r="55">
      <x:c r="A55" s="210"/>
      <x:c r="B55" s="210"/>
      <x:c r="C55" s="210"/>
      <x:c r="D55" s="210"/>
      <x:c r="E55" s="210"/>
      <x:c r="F55" s="210"/>
      <x:c r="G55" s="210"/>
      <x:c r="H55" s="210"/>
      <x:c r="I55" s="210"/>
      <x:c r="J55" s="210"/>
    </x:row>
    <x:row r="56">
      <x:c r="A56" s="210"/>
      <x:c r="B56" s="210"/>
      <x:c r="C56" s="210"/>
      <x:c r="D56" s="210"/>
      <x:c r="E56" s="210"/>
      <x:c r="F56" s="210"/>
      <x:c r="G56" s="210"/>
      <x:c r="H56" s="210"/>
      <x:c r="I56" s="210"/>
      <x:c r="J56" s="210"/>
    </x:row>
    <x:row r="57">
      <x:c r="A57" s="210"/>
      <x:c r="B57" s="210"/>
      <x:c r="C57" s="210"/>
      <x:c r="D57" s="210"/>
      <x:c r="E57" s="210"/>
      <x:c r="F57" s="210"/>
      <x:c r="G57" s="210"/>
      <x:c r="H57" s="210"/>
      <x:c r="I57" s="210"/>
      <x:c r="J57" s="210"/>
    </x:row>
    <x:row r="58">
      <x:c r="A58" s="210"/>
      <x:c r="B58" s="210"/>
      <x:c r="C58" s="210"/>
      <x:c r="D58" s="210"/>
      <x:c r="E58" s="210"/>
      <x:c r="F58" s="210"/>
      <x:c r="G58" s="210"/>
      <x:c r="H58" s="210"/>
      <x:c r="I58" s="210"/>
      <x:c r="J58" s="210"/>
    </x:row>
    <x:row r="59">
      <x:c r="A59" s="210"/>
      <x:c r="B59" s="210"/>
      <x:c r="C59" s="210"/>
      <x:c r="D59" s="210"/>
      <x:c r="E59" s="210"/>
      <x:c r="F59" s="210"/>
      <x:c r="G59" s="210"/>
      <x:c r="H59" s="210"/>
      <x:c r="I59" s="210"/>
      <x:c r="J59" s="210"/>
    </x:row>
    <x:row r="60">
      <x:c r="A60" s="210"/>
      <x:c r="B60" s="210"/>
      <x:c r="C60" s="210"/>
      <x:c r="D60" s="210"/>
      <x:c r="E60" s="210"/>
      <x:c r="F60" s="210"/>
      <x:c r="G60" s="210"/>
      <x:c r="H60" s="210"/>
      <x:c r="I60" s="210"/>
      <x:c r="J60" s="210"/>
    </x:row>
    <x:row r="61">
      <x:c r="A61" s="210"/>
      <x:c r="B61" s="210"/>
      <x:c r="C61" s="210"/>
      <x:c r="D61" s="210"/>
      <x:c r="E61" s="210"/>
      <x:c r="F61" s="210"/>
      <x:c r="G61" s="210"/>
      <x:c r="H61" s="210"/>
      <x:c r="I61" s="210"/>
      <x:c r="J61" s="210"/>
    </x:row>
    <x:row r="62">
      <x:c r="A62" s="210"/>
      <x:c r="B62" s="210"/>
      <x:c r="C62" s="210"/>
      <x:c r="D62" s="210"/>
      <x:c r="E62" s="210"/>
      <x:c r="F62" s="210"/>
      <x:c r="G62" s="210"/>
      <x:c r="H62" s="210"/>
      <x:c r="I62" s="210"/>
      <x:c r="J62" s="210"/>
    </x:row>
    <x:row r="63">
      <x:c r="A63" s="210"/>
      <x:c r="B63" s="210"/>
      <x:c r="C63" s="210"/>
      <x:c r="D63" s="210"/>
      <x:c r="E63" s="210"/>
      <x:c r="F63" s="210"/>
      <x:c r="G63" s="210"/>
      <x:c r="H63" s="210"/>
      <x:c r="I63" s="210"/>
      <x:c r="J63" s="210"/>
    </x:row>
    <x:row r="64">
      <x:c r="A64" s="210"/>
      <x:c r="B64" s="210"/>
      <x:c r="C64" s="210"/>
      <x:c r="D64" s="210"/>
      <x:c r="E64" s="210"/>
      <x:c r="F64" s="210"/>
      <x:c r="G64" s="210"/>
      <x:c r="H64" s="210"/>
      <x:c r="I64" s="210"/>
      <x:c r="J64" s="210"/>
    </x:row>
    <x:row r="65">
      <x:c r="A65" s="210"/>
      <x:c r="B65" s="210"/>
      <x:c r="C65" s="210"/>
      <x:c r="D65" s="210"/>
      <x:c r="E65" s="210"/>
      <x:c r="F65" s="210"/>
      <x:c r="G65" s="210"/>
      <x:c r="H65" s="210"/>
      <x:c r="I65" s="210"/>
      <x:c r="J65" s="210"/>
    </x:row>
    <x:row r="66">
      <x:c r="A66" s="210"/>
      <x:c r="B66" s="210"/>
      <x:c r="C66" s="210"/>
      <x:c r="D66" s="210"/>
      <x:c r="E66" s="210"/>
      <x:c r="F66" s="210"/>
      <x:c r="G66" s="210"/>
      <x:c r="H66" s="210"/>
      <x:c r="I66" s="210"/>
      <x:c r="J66" s="210"/>
    </x:row>
    <x:row r="67">
      <x:c r="A67" s="210"/>
      <x:c r="B67" s="210"/>
      <x:c r="C67" s="210"/>
      <x:c r="D67" s="210"/>
      <x:c r="E67" s="210"/>
      <x:c r="F67" s="210"/>
      <x:c r="G67" s="210"/>
      <x:c r="H67" s="210"/>
      <x:c r="I67" s="210"/>
      <x:c r="J67" s="210"/>
    </x:row>
    <x:row r="68">
      <x:c r="A68" s="210"/>
      <x:c r="B68" s="210"/>
      <x:c r="C68" s="210"/>
      <x:c r="D68" s="210"/>
      <x:c r="E68" s="210"/>
      <x:c r="F68" s="210"/>
      <x:c r="G68" s="210"/>
      <x:c r="H68" s="210"/>
      <x:c r="I68" s="210"/>
      <x:c r="J68" s="210"/>
    </x:row>
    <x:row r="69">
      <x:c r="A69" s="210"/>
      <x:c r="B69" s="210"/>
      <x:c r="C69" s="210"/>
      <x:c r="D69" s="210"/>
      <x:c r="E69" s="210"/>
      <x:c r="F69" s="210"/>
      <x:c r="G69" s="210"/>
      <x:c r="H69" s="210"/>
      <x:c r="I69" s="210"/>
      <x:c r="J69" s="210"/>
    </x:row>
    <x:row r="70">
      <x:c r="A70" s="210"/>
      <x:c r="B70" s="210"/>
      <x:c r="C70" s="210"/>
      <x:c r="D70" s="210"/>
      <x:c r="E70" s="210"/>
      <x:c r="F70" s="210"/>
      <x:c r="G70" s="210"/>
      <x:c r="H70" s="210"/>
      <x:c r="I70" s="210"/>
      <x:c r="J70" s="210"/>
    </x:row>
    <x:row r="71">
      <x:c r="A71" s="210"/>
      <x:c r="B71" s="210"/>
      <x:c r="C71" s="210"/>
      <x:c r="D71" s="210"/>
      <x:c r="E71" s="210"/>
      <x:c r="F71" s="210"/>
      <x:c r="G71" s="210"/>
      <x:c r="H71" s="210"/>
      <x:c r="I71" s="210"/>
      <x:c r="J71" s="210"/>
    </x:row>
    <x:row r="72">
      <x:c r="A72" s="210"/>
      <x:c r="B72" s="210"/>
      <x:c r="C72" s="210"/>
      <x:c r="D72" s="210"/>
      <x:c r="E72" s="210"/>
      <x:c r="F72" s="210"/>
      <x:c r="G72" s="210"/>
      <x:c r="H72" s="210"/>
      <x:c r="I72" s="210"/>
      <x:c r="J72" s="210"/>
    </x:row>
    <x:row r="73">
      <x:c r="A73" s="210"/>
      <x:c r="B73" s="210"/>
      <x:c r="C73" s="210"/>
      <x:c r="D73" s="210"/>
      <x:c r="E73" s="210"/>
      <x:c r="F73" s="210"/>
      <x:c r="G73" s="210"/>
      <x:c r="H73" s="210"/>
      <x:c r="I73" s="210"/>
      <x:c r="J73" s="210"/>
    </x:row>
    <x:row r="74">
      <x:c r="A74" s="210"/>
      <x:c r="B74" s="210"/>
      <x:c r="C74" s="210"/>
      <x:c r="D74" s="210"/>
      <x:c r="E74" s="210"/>
      <x:c r="F74" s="210"/>
      <x:c r="G74" s="210"/>
      <x:c r="H74" s="210"/>
      <x:c r="I74" s="210"/>
      <x:c r="J74" s="210"/>
    </x:row>
    <x:row r="75">
      <x:c r="A75" s="210"/>
      <x:c r="B75" s="210"/>
      <x:c r="C75" s="210"/>
      <x:c r="D75" s="210"/>
      <x:c r="E75" s="210"/>
      <x:c r="F75" s="210"/>
      <x:c r="G75" s="210"/>
      <x:c r="H75" s="210"/>
      <x:c r="I75" s="210"/>
      <x:c r="J75" s="210"/>
    </x:row>
    <x:row r="76">
      <x:c r="A76" s="210"/>
      <x:c r="B76" s="210"/>
      <x:c r="C76" s="210"/>
      <x:c r="D76" s="210"/>
      <x:c r="E76" s="210"/>
      <x:c r="F76" s="210"/>
      <x:c r="G76" s="210"/>
      <x:c r="H76" s="210"/>
      <x:c r="I76" s="210"/>
      <x:c r="J76" s="210"/>
    </x:row>
    <x:row r="77">
      <x:c r="A77" s="210"/>
      <x:c r="B77" s="210"/>
      <x:c r="C77" s="210"/>
      <x:c r="D77" s="210"/>
      <x:c r="E77" s="210"/>
      <x:c r="F77" s="210"/>
      <x:c r="G77" s="210"/>
      <x:c r="H77" s="210"/>
      <x:c r="I77" s="210"/>
      <x:c r="J77" s="210"/>
    </x:row>
    <x:row r="78">
      <x:c r="A78" s="210"/>
      <x:c r="B78" s="210"/>
      <x:c r="C78" s="210"/>
      <x:c r="D78" s="210"/>
      <x:c r="E78" s="210"/>
      <x:c r="F78" s="210"/>
      <x:c r="G78" s="210"/>
      <x:c r="H78" s="210"/>
      <x:c r="I78" s="210"/>
      <x:c r="J78" s="210"/>
    </x:row>
    <x:row r="79">
      <x:c r="A79" s="210"/>
      <x:c r="B79" s="210"/>
      <x:c r="C79" s="210"/>
      <x:c r="D79" s="210"/>
      <x:c r="E79" s="210"/>
      <x:c r="F79" s="210"/>
      <x:c r="G79" s="210"/>
      <x:c r="H79" s="210"/>
      <x:c r="I79" s="210"/>
      <x:c r="J79" s="210"/>
    </x:row>
    <x:row r="80">
      <x:c r="A80" s="210"/>
      <x:c r="B80" s="210"/>
      <x:c r="C80" s="210"/>
      <x:c r="D80" s="210"/>
      <x:c r="E80" s="210"/>
      <x:c r="F80" s="210"/>
      <x:c r="G80" s="210"/>
      <x:c r="H80" s="210"/>
      <x:c r="I80" s="210"/>
      <x:c r="J80" s="210"/>
    </x:row>
    <x:row r="81">
      <x:c r="A81" s="210"/>
      <x:c r="B81" s="210"/>
      <x:c r="C81" s="210"/>
      <x:c r="D81" s="210"/>
      <x:c r="E81" s="210"/>
      <x:c r="F81" s="210"/>
      <x:c r="G81" s="210"/>
      <x:c r="H81" s="210"/>
      <x:c r="I81" s="210"/>
      <x:c r="J81" s="210"/>
    </x:row>
    <x:row r="82">
      <x:c r="A82" s="210"/>
      <x:c r="B82" s="210"/>
      <x:c r="C82" s="210"/>
      <x:c r="D82" s="210"/>
      <x:c r="E82" s="210"/>
      <x:c r="F82" s="210"/>
      <x:c r="G82" s="210"/>
      <x:c r="H82" s="210"/>
      <x:c r="I82" s="210"/>
      <x:c r="J82" s="210"/>
    </x:row>
    <x:row r="83">
      <x:c r="A83" s="210"/>
      <x:c r="B83" s="210"/>
      <x:c r="C83" s="210"/>
      <x:c r="D83" s="210"/>
      <x:c r="E83" s="210"/>
      <x:c r="F83" s="210"/>
      <x:c r="G83" s="210"/>
      <x:c r="H83" s="210"/>
      <x:c r="I83" s="210"/>
      <x:c r="J83" s="210"/>
    </x:row>
    <x:row r="84">
      <x:c r="A84" s="210"/>
      <x:c r="B84" s="210"/>
      <x:c r="C84" s="210"/>
      <x:c r="D84" s="210"/>
      <x:c r="E84" s="210"/>
      <x:c r="F84" s="210"/>
      <x:c r="G84" s="210"/>
      <x:c r="H84" s="210"/>
      <x:c r="I84" s="210"/>
      <x:c r="J84" s="210"/>
    </x:row>
    <x:row r="85">
      <x:c r="A85" s="210"/>
      <x:c r="B85" s="210"/>
      <x:c r="C85" s="210"/>
      <x:c r="D85" s="210"/>
      <x:c r="E85" s="210"/>
      <x:c r="F85" s="210"/>
      <x:c r="G85" s="210"/>
      <x:c r="H85" s="210"/>
      <x:c r="I85" s="210"/>
      <x:c r="J85" s="210"/>
    </x:row>
    <x:row r="86">
      <x:c r="A86" s="210"/>
      <x:c r="B86" s="210"/>
      <x:c r="C86" s="210"/>
      <x:c r="D86" s="210"/>
      <x:c r="E86" s="210"/>
      <x:c r="F86" s="210"/>
      <x:c r="G86" s="210"/>
      <x:c r="H86" s="210"/>
      <x:c r="I86" s="210"/>
      <x:c r="J86" s="210"/>
    </x:row>
    <x:row r="87">
      <x:c r="A87" s="210"/>
      <x:c r="B87" s="210"/>
      <x:c r="C87" s="210"/>
      <x:c r="D87" s="210"/>
      <x:c r="E87" s="210"/>
      <x:c r="F87" s="210"/>
      <x:c r="G87" s="210"/>
      <x:c r="H87" s="210"/>
      <x:c r="I87" s="210"/>
      <x:c r="J87" s="210"/>
    </x:row>
    <x:row r="88">
      <x:c r="A88" s="210"/>
      <x:c r="B88" s="210"/>
      <x:c r="C88" s="210"/>
      <x:c r="D88" s="210"/>
      <x:c r="E88" s="210"/>
      <x:c r="F88" s="210"/>
      <x:c r="G88" s="210"/>
      <x:c r="H88" s="210"/>
      <x:c r="I88" s="210"/>
      <x:c r="J88" s="210"/>
    </x:row>
    <x:row r="89">
      <x:c r="A89" s="210"/>
      <x:c r="B89" s="210"/>
      <x:c r="C89" s="210"/>
      <x:c r="D89" s="210"/>
      <x:c r="E89" s="210"/>
      <x:c r="F89" s="210"/>
      <x:c r="G89" s="210"/>
      <x:c r="H89" s="210"/>
      <x:c r="I89" s="210"/>
      <x:c r="J89" s="210"/>
    </x:row>
    <x:row r="90">
      <x:c r="A90" s="210"/>
      <x:c r="B90" s="210"/>
      <x:c r="C90" s="210"/>
      <x:c r="D90" s="210"/>
      <x:c r="E90" s="210"/>
      <x:c r="F90" s="210"/>
      <x:c r="G90" s="210"/>
      <x:c r="H90" s="210"/>
      <x:c r="I90" s="210"/>
      <x:c r="J90" s="210"/>
    </x:row>
    <x:row r="91">
      <x:c r="A91" s="210"/>
      <x:c r="B91" s="210"/>
      <x:c r="C91" s="210"/>
      <x:c r="D91" s="210"/>
      <x:c r="E91" s="210"/>
      <x:c r="F91" s="210"/>
      <x:c r="G91" s="210"/>
      <x:c r="H91" s="210"/>
      <x:c r="I91" s="210"/>
      <x:c r="J91" s="210"/>
    </x:row>
    <x:row r="92">
      <x:c r="A92" s="210"/>
      <x:c r="B92" s="210"/>
      <x:c r="C92" s="210"/>
      <x:c r="D92" s="210"/>
      <x:c r="E92" s="210"/>
      <x:c r="F92" s="210"/>
      <x:c r="G92" s="210"/>
      <x:c r="H92" s="210"/>
      <x:c r="I92" s="210"/>
      <x:c r="J92" s="210"/>
    </x:row>
    <x:row r="93">
      <x:c r="A93" s="210"/>
      <x:c r="B93" s="210"/>
      <x:c r="C93" s="210"/>
      <x:c r="D93" s="210"/>
      <x:c r="E93" s="210"/>
      <x:c r="F93" s="210"/>
      <x:c r="G93" s="210"/>
      <x:c r="H93" s="210"/>
      <x:c r="I93" s="210"/>
      <x:c r="J93" s="210"/>
    </x:row>
    <x:row r="94">
      <x:c r="A94" s="210"/>
      <x:c r="B94" s="210"/>
      <x:c r="C94" s="210"/>
      <x:c r="D94" s="210"/>
      <x:c r="E94" s="210"/>
      <x:c r="F94" s="210"/>
      <x:c r="G94" s="210"/>
      <x:c r="H94" s="210"/>
      <x:c r="I94" s="210"/>
      <x:c r="J94" s="210"/>
    </x:row>
    <x:row r="95">
      <x:c r="A95" s="210"/>
      <x:c r="B95" s="210"/>
      <x:c r="C95" s="210"/>
      <x:c r="D95" s="210"/>
      <x:c r="E95" s="210"/>
      <x:c r="F95" s="210"/>
      <x:c r="G95" s="210"/>
      <x:c r="H95" s="210"/>
      <x:c r="I95" s="210"/>
      <x:c r="J95" s="210"/>
    </x:row>
    <x:row r="96">
      <x:c r="A96" s="210"/>
      <x:c r="B96" s="210"/>
      <x:c r="C96" s="210"/>
      <x:c r="D96" s="210"/>
      <x:c r="E96" s="210"/>
      <x:c r="F96" s="210"/>
      <x:c r="G96" s="210"/>
      <x:c r="H96" s="210"/>
      <x:c r="I96" s="210"/>
      <x:c r="J96" s="210"/>
    </x:row>
    <x:row r="97">
      <x:c r="A97" s="210"/>
      <x:c r="B97" s="210"/>
      <x:c r="C97" s="210"/>
      <x:c r="D97" s="210"/>
      <x:c r="E97" s="210"/>
      <x:c r="F97" s="210"/>
      <x:c r="G97" s="210"/>
      <x:c r="H97" s="210"/>
      <x:c r="I97" s="210"/>
      <x:c r="J97" s="210"/>
    </x:row>
    <x:row r="98">
      <x:c r="A98" s="210"/>
      <x:c r="B98" s="210"/>
      <x:c r="C98" s="210"/>
      <x:c r="D98" s="210"/>
      <x:c r="E98" s="210"/>
      <x:c r="F98" s="210"/>
      <x:c r="G98" s="210"/>
      <x:c r="H98" s="210"/>
      <x:c r="I98" s="210"/>
      <x:c r="J98" s="210"/>
    </x:row>
    <x:row r="99">
      <x:c r="A99" s="210"/>
      <x:c r="B99" s="210"/>
      <x:c r="C99" s="210"/>
      <x:c r="D99" s="210"/>
      <x:c r="E99" s="210"/>
      <x:c r="F99" s="210"/>
      <x:c r="G99" s="210"/>
      <x:c r="H99" s="210"/>
      <x:c r="I99" s="210"/>
      <x:c r="J99" s="210"/>
    </x:row>
    <x:row r="100">
      <x:c r="A100" s="210"/>
      <x:c r="B100" s="210"/>
      <x:c r="C100" s="210"/>
      <x:c r="D100" s="210"/>
      <x:c r="E100" s="210"/>
      <x:c r="F100" s="210"/>
      <x:c r="G100" s="210"/>
      <x:c r="H100" s="210"/>
      <x:c r="I100" s="210"/>
      <x:c r="J100" s="210"/>
    </x:row>
  </x:sheetData>
  <x:mergeCells>
    <x:mergeCell ref="A2:J2"/>
    <x:mergeCell ref="A3:J3"/>
    <x:mergeCell ref="A5:J5"/>
  </x:mergeCells>
  <x:dataValidations count="1">
    <x:dataValidation type="list" sqref="I8:I27">
      <x:formula1>"未确认,允许,条件允许,不允许,不适用"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88ed38da1e4f92"/>
  </x:tableParts>
</x:worksheet>
</file>

<file path=xl/worksheets/sheet4.xml><?xml version="1.0" encoding="utf-8"?>
<x:worksheet xmlns:x="http://schemas.openxmlformats.org/spreadsheetml/2006/main">
  <x:sheetPr>
    <x:tabColor rgb="FF44444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630000114440918" hidden="0" customWidth="1"/>
    <x:col min="2" max="2" width="25.6299991607666" hidden="0" customWidth="1"/>
    <x:col min="3" max="3" width="38.75" hidden="0" customWidth="1"/>
    <x:col min="4" max="4" width="38.75" hidden="0" customWidth="1"/>
    <x:col min="5" max="5" width="37.5" hidden="0" customWidth="1"/>
    <x:col min="6" max="6" width="27.5" hidden="0" customWidth="1"/>
    <x:col min="7" max="7" width="18.1299991607666" hidden="0" customWidth="1"/>
  </x:cols>
  <x:sheetData>
    <x:row r="1" ht="21" customHeight="1">
      <x:c r="A1" s="173"/>
      <x:c r="B1" s="174"/>
      <x:c r="C1" s="174"/>
      <x:c r="D1" s="174"/>
      <x:c r="E1" s="174"/>
      <x:c r="F1" s="174"/>
      <x:c r="G1" s="175"/>
    </x:row>
    <x:row r="2" ht="30" customHeight="1">
      <x:c r="A2" s="176" t="str">
        <x:v>Azure PoC 流量测量与提供条件</x:v>
      </x:c>
      <x:c r="B2" s="177" t="str">
        <x:v>Azure PoC 流量测量与提供条件</x:v>
      </x:c>
      <x:c r="C2" s="177" t="str">
        <x:v>Azure PoC 流量测量与提供条件</x:v>
      </x:c>
      <x:c r="D2" s="177" t="str">
        <x:v>Azure PoC 流量测量与提供条件</x:v>
      </x:c>
      <x:c r="E2" s="177" t="str">
        <x:v>Azure PoC 流量测量与提供条件</x:v>
      </x:c>
      <x:c r="F2" s="177" t="str">
        <x:v>Azure PoC 流量测量与提供条件</x:v>
      </x:c>
      <x:c r="G2" s="178" t="str">
        <x:v>Azure PoC 流量测量与提供条件</x:v>
      </x:c>
    </x:row>
    <x:row r="3" ht="48" customHeight="1">
      <x:c r="A3" s="179" t="str">
        <x:v>已完成：Azure 中 1 台 ACC 经 MID 向 Instance 传输（实施方说明）。通信量由 ITOM 自行实测并提供；本版尚未收到原始 Bytes、期间及实际端口。</x:v>
      </x:c>
      <x:c r="B3" s="180" t="str">
        <x:v>已完成：Azure 中 1 台 ACC 经 MID 向 Instance 传输（实施方说明）。通信量由 ITOM 自行实测并提供；本版尚未收到原始 Bytes、期间及实际端口。</x:v>
      </x:c>
      <x:c r="C3" s="180" t="str">
        <x:v>已完成：Azure 中 1 台 ACC 经 MID 向 Instance 传输（实施方说明）。通信量由 ITOM 自行实测并提供；本版尚未收到原始 Bytes、期间及实际端口。</x:v>
      </x:c>
      <x:c r="D3" s="180" t="str">
        <x:v>已完成：Azure 中 1 台 ACC 经 MID 向 Instance 传输（实施方说明）。通信量由 ITOM 自行实测并提供；本版尚未收到原始 Bytes、期间及实际端口。</x:v>
      </x:c>
      <x:c r="E3" s="180" t="str">
        <x:v>已完成：Azure 中 1 台 ACC 经 MID 向 Instance 传输（实施方说明）。通信量由 ITOM 自行实测并提供；本版尚未收到原始 Bytes、期间及实际端口。</x:v>
      </x:c>
      <x:c r="F3" s="180" t="str">
        <x:v>已完成：Azure 中 1 台 ACC 经 MID 向 Instance 传输（实施方说明）。通信量由 ITOM 自行实测并提供；本版尚未收到原始 Bytes、期间及实际端口。</x:v>
      </x:c>
      <x:c r="G3" s="181" t="str">
        <x:v>已完成：Azure 中 1 台 ACC 经 MID 向 Instance 传输（实施方说明）。通信量由 ITOM 自行实测并提供；本版尚未收到原始 Bytes、期间及实际端口。</x:v>
      </x:c>
    </x:row>
    <x:row r="4" ht="21" customHeight="1">
      <x:c r="A4" s="182"/>
      <x:c r="B4" s="183"/>
      <x:c r="C4" s="183"/>
      <x:c r="D4" s="183"/>
      <x:c r="E4" s="183"/>
      <x:c r="F4" s="183"/>
      <x:c r="G4" s="184"/>
    </x:row>
    <x:row r="5" ht="25.5" customHeight="1">
      <x:c r="A5" s="185" t="str">
        <x:v>1. ITOM 提供什么，环境负责人确认什么</x:v>
      </x:c>
      <x:c r="B5" s="186" t="str">
        <x:v>1. ITOM 提供什么，环境负责人确认什么</x:v>
      </x:c>
      <x:c r="C5" s="186" t="str">
        <x:v>1. ITOM 提供什么，环境负责人确认什么</x:v>
      </x:c>
      <x:c r="D5" s="186" t="str">
        <x:v>1. ITOM 提供什么，环境负责人确认什么</x:v>
      </x:c>
      <x:c r="E5" s="186" t="str">
        <x:v>1. ITOM 提供什么，环境负责人确认什么</x:v>
      </x:c>
      <x:c r="F5" s="186" t="str">
        <x:v>1. ITOM 提供什么，环境负责人确认什么</x:v>
      </x:c>
      <x:c r="G5" s="187" t="str">
        <x:v>1. ITOM 提供什么，环境负责人确认什么</x:v>
      </x:c>
    </x:row>
    <x:row r="6" ht="100" customHeight="1">
      <x:c r="A6" s="182" t="str">
        <x:v>ITOM：提供第 03 页通信条件；按通信 ID 测量自有 Azure PoC 的 ACC→MID、MID→Instance 路径，提交原始记录、阶段、单位、周期和结果。
环境负责人：依据提供值判断本环境的部署/网络影响，确认规模、回线、路由、FW 许可与配置差异。
已完成连接测试不等于流量已测定；安装、首次采集、正常运行和更新分别记录。先提供 PoC 基准，再按环境差异补充现场验证。</x:v>
      </x:c>
      <x:c r="B6" s="183" t="str">
        <x:v>ITOM：提供第 03 页通信条件；按通信 ID 测量自有 Azure PoC 的 ACC→MID、MID→Instance 路径，提交原始记录、阶段、单位、周期和结果。
环境负责人：依据提供值判断本环境的部署/网络影响，确认规模、回线、路由、FW 许可与配置差异。
已完成连接测试不等于流量已测定；安装、首次采集、正常运行和更新分别记录。先提供 PoC 基准，再按环境差异补充现场验证。</x:v>
      </x:c>
      <x:c r="C6" s="183" t="str">
        <x:v>ITOM：提供第 03 页通信条件；按通信 ID 测量自有 Azure PoC 的 ACC→MID、MID→Instance 路径，提交原始记录、阶段、单位、周期和结果。
环境负责人：依据提供值判断本环境的部署/网络影响，确认规模、回线、路由、FW 许可与配置差异。
已完成连接测试不等于流量已测定；安装、首次采集、正常运行和更新分别记录。先提供 PoC 基准，再按环境差异补充现场验证。</x:v>
      </x:c>
      <x:c r="D6" s="183" t="str">
        <x:v>ITOM：提供第 03 页通信条件；按通信 ID 测量自有 Azure PoC 的 ACC→MID、MID→Instance 路径，提交原始记录、阶段、单位、周期和结果。
环境负责人：依据提供值判断本环境的部署/网络影响，确认规模、回线、路由、FW 许可与配置差异。
已完成连接测试不等于流量已测定；安装、首次采集、正常运行和更新分别记录。先提供 PoC 基准，再按环境差异补充现场验证。</x:v>
      </x:c>
      <x:c r="E6" s="183" t="str">
        <x:v>ITOM：提供第 03 页通信条件；按通信 ID 测量自有 Azure PoC 的 ACC→MID、MID→Instance 路径，提交原始记录、阶段、单位、周期和结果。
环境负责人：依据提供值判断本环境的部署/网络影响，确认规模、回线、路由、FW 许可与配置差异。
已完成连接测试不等于流量已测定；安装、首次采集、正常运行和更新分别记录。先提供 PoC 基准，再按环境差异补充现场验证。</x:v>
      </x:c>
      <x:c r="F6" s="183" t="str">
        <x:v>ITOM：提供第 03 页通信条件；按通信 ID 测量自有 Azure PoC 的 ACC→MID、MID→Instance 路径，提交原始记录、阶段、单位、周期和结果。
环境负责人：依据提供值判断本环境的部署/网络影响，确认规模、回线、路由、FW 许可与配置差异。
已完成连接测试不等于流量已测定；安装、首次采集、正常运行和更新分别记录。先提供 PoC 基准，再按环境差异补充现场验证。</x:v>
      </x:c>
      <x:c r="G6" s="184" t="str">
        <x:v>ITOM：提供第 03 页通信条件；按通信 ID 测量自有 Azure PoC 的 ACC→MID、MID→Instance 路径，提交原始记录、阶段、单位、周期和结果。
环境负责人：依据提供值判断本环境的部署/网络影响，确认规模、回线、路由、FW 许可与配置差异。
已完成连接测试不等于流量已测定；安装、首次采集、正常运行和更新分别记录。先提供 PoC 基准，再按环境差异补充现场验证。</x:v>
      </x:c>
    </x:row>
    <x:row r="7" ht="21" customHeight="1">
      <x:c r="A7" s="182"/>
      <x:c r="B7" s="183"/>
      <x:c r="C7" s="183"/>
      <x:c r="D7" s="183"/>
      <x:c r="E7" s="183"/>
      <x:c r="F7" s="183"/>
      <x:c r="G7" s="184"/>
    </x:row>
    <x:row r="8" ht="33" customHeight="1">
      <x:c r="A8" s="188" t="str">
        <x:v>方法 ID</x:v>
      </x:c>
      <x:c r="B8" s="189" t="str">
        <x:v>获取方法</x:v>
      </x:c>
      <x:c r="C8" s="189" t="str">
        <x:v>可以确认什么</x:v>
      </x:c>
      <x:c r="D8" s="189" t="str">
        <x:v>限制与注意事项</x:v>
      </x:c>
      <x:c r="E8" s="189" t="str">
        <x:v>适用环境与准备</x:v>
      </x:c>
      <x:c r="F8" s="189" t="str">
        <x:v>结果应如何表述</x:v>
      </x:c>
      <x:c r="G8" s="190" t="str">
        <x:v>依据</x:v>
      </x:c>
    </x:row>
    <x:row r="9" ht="79.5" customHeight="1">
      <x:c r="A9" s="202" t="str">
        <x:v>M01</x:v>
      </x:c>
      <x:c r="B9" s="203" t="str">
        <x:v>Azure VM Metrics</x:v>
      </x:c>
      <x:c r="C9" s="203" t="str">
        <x:v>Network In Total / Network Out Total：VM 所有 NIC 的 Bytes，采用 Sum 聚合。</x:v>
      </x:c>
      <x:c r="D9" s="203" t="str">
        <x:v>不能按目的地址、端口或进程区分；包含 OS 更新、管理连接等，不能直接视作 ACC 专属流量。</x:v>
      </x:c>
      <x:c r="E9" s="203" t="str">
        <x:v>ITOM 分别查看自有 Azure 的 ACC VM/MID VM；固定期间、Scope、聚合与单位。</x:v>
      </x:c>
      <x:c r="F9" s="203" t="str">
        <x:v>VM 整体值（未拆分归属）</x:v>
      </x:c>
      <x:c r="G9" s="211" t="str">
        <x:v>S11
01_事项概览
参见官方来源</x:v>
      </x:c>
    </x:row>
    <x:row r="10" ht="84" customHeight="1">
      <x:c r="A10" s="206" t="str">
        <x:v>M02</x:v>
      </x:c>
      <x:c r="B10" s="207" t="str">
        <x:v>Azure VNet Flow Logs</x:v>
      </x:c>
      <x:c r="C10" s="207" t="str">
        <x:v>对应流的源/目的 IP、端口、协议、方向和 Bytes。</x:v>
      </x:c>
      <x:c r="D10" s="207" t="str">
        <x:v>不同观测位置、日志格式与状态的汇总方式不同；确认增量 Bytes、去重和目标连接识别。</x:v>
      </x:c>
      <x:c r="E10" s="207" t="str">
        <x:v>ITOM 优先使用 PoC 已有且可识别目标流的日志；新启用需确认权限、费用和保存位置。</x:v>
      </x:c>
      <x:c r="F10" s="207" t="str">
        <x:v>可识别目标流时按路径汇总</x:v>
      </x:c>
      <x:c r="G10" s="212" t="str">
        <x:v>S13
01_事项概览
参见官方来源</x:v>
      </x:c>
    </x:row>
    <x:row r="11" ht="84" customHeight="1">
      <x:c r="A11" s="206" t="str">
        <x:v>M03</x:v>
      </x:c>
      <x:c r="B11" s="207" t="str">
        <x:v>Azure Traffic Analytics</x:v>
      </x:c>
      <x:c r="C11" s="207" t="str">
        <x:v>聚合后的流分类与通信量等。</x:v>
      </x:c>
      <x:c r="D11" s="207" t="str">
        <x:v>存在 10/60 分钟等聚合与延迟，公开目的地 IP 字段也有限制；不视作瞬间峰值实测。</x:v>
      </x:c>
      <x:c r="E11" s="207" t="str">
        <x:v>ITOM 仅在 PoC 已具备 Traffic Analytics 时采用，并注明聚合条件。</x:v>
      </x:c>
      <x:c r="F11" s="207" t="str">
        <x:v>注明聚合条件的汇总或估计</x:v>
      </x:c>
      <x:c r="G11" s="212" t="str">
        <x:v>S15
01_事项概览
参见官方来源</x:v>
      </x:c>
    </x:row>
    <x:row r="12" ht="84" customHeight="1">
      <x:c r="A12" s="206" t="str">
        <x:v>M04</x:v>
      </x:c>
      <x:c r="B12" s="207" t="str">
        <x:v>FW / Proxy / NetFlow 等</x:v>
      </x:c>
      <x:c r="C12" s="207" t="str">
        <x:v>有源/目的地址、端口和会话 Bytes 时，可以按路径统计。</x:v>
      </x:c>
      <x:c r="D12" s="207" t="str">
        <x:v>只有 Allow/Deny 的日志不能计算 Bytes；共享 Proxy 或 NAT 可能导致归属不可识别。</x:v>
      </x:c>
      <x:c r="E12" s="207" t="str">
        <x:v>有 PoC 现有日志时由 ITOM 提取；客户环境现场复核时，网络负责人确认可用日志。</x:v>
      </x:c>
      <x:c r="F12" s="207" t="str">
        <x:v>仅确认可识别的路径</x:v>
      </x:c>
      <x:c r="G12" s="209" t="str">
        <x:v>参照 S13＋待确认</x:v>
      </x:c>
    </x:row>
    <x:row r="13" ht="78.75" customHeight="1">
      <x:c r="A13" s="206" t="str">
        <x:v>M05</x:v>
      </x:c>
      <x:c r="B13" s="207" t="str">
        <x:v>OS / NIC 监控</x:v>
      </x:c>
      <x:c r="C13" s="207" t="str">
        <x:v>VM/服务器 NIC 的转发总量或固定间隔速率。</x:v>
      </x:c>
      <x:c r="D13" s="207" t="str">
        <x:v>属于 VM 整体值；需确认累计/重置、NIC 与采样间隔。SN 处理件数不能替代网络 Bytes。</x:v>
      </x:c>
      <x:c r="E13" s="207" t="str">
        <x:v>由 ITOM 获取 PoC VM/NIC 的原始计数器或固定间隔速率，注明重置和背景通信。</x:v>
      </x:c>
      <x:c r="F13" s="207" t="str">
        <x:v>总量或参考值</x:v>
      </x:c>
      <x:c r="G13" s="209" t="str">
        <x:v>建议</x:v>
      </x:c>
    </x:row>
    <x:row r="14" ht="21" customHeight="1">
      <x:c r="A14" s="182"/>
      <x:c r="B14" s="183"/>
      <x:c r="C14" s="183"/>
      <x:c r="D14" s="183"/>
      <x:c r="E14" s="183"/>
      <x:c r="F14" s="183"/>
      <x:c r="G14" s="184"/>
    </x:row>
    <x:row r="15" ht="25.5" customHeight="1">
      <x:c r="A15" s="185" t="str">
        <x:v>2. 分阶段测量（ITOM 执行；测量期间与采集周期一并提供）</x:v>
      </x:c>
      <x:c r="B15" s="186" t="str">
        <x:v>2. 分阶段测量（ITOM 执行；测量期间与采集周期一并提供）</x:v>
      </x:c>
      <x:c r="C15" s="186" t="str">
        <x:v>2. 分阶段测量（ITOM 执行；测量期间与采集周期一并提供）</x:v>
      </x:c>
      <x:c r="D15" s="186" t="str">
        <x:v>2. 分阶段测量（ITOM 执行；测量期间与采集周期一并提供）</x:v>
      </x:c>
      <x:c r="E15" s="186" t="str">
        <x:v>2. 分阶段测量（ITOM 执行；测量期间与采集周期一并提供）</x:v>
      </x:c>
      <x:c r="F15" s="186" t="str">
        <x:v>2. 分阶段测量（ITOM 执行；测量期间与采集周期一并提供）</x:v>
      </x:c>
      <x:c r="G15" s="187" t="str">
        <x:v>2. 分阶段测量（ITOM 执行；测量期间与采集周期一并提供）</x:v>
      </x:c>
    </x:row>
    <x:row r="16" ht="33" customHeight="1">
      <x:c r="A16" s="188" t="str">
        <x:v>阶段 ID</x:v>
      </x:c>
      <x:c r="B16" s="189" t="str">
        <x:v>测量对象</x:v>
      </x:c>
      <x:c r="C16" s="189" t="str">
        <x:v>实施条件（建议）</x:v>
      </x:c>
      <x:c r="D16" s="189" t="str">
        <x:v>应区分或记录什么</x:v>
      </x:c>
      <x:c r="E16" s="189" t="str">
        <x:v>汇报用途</x:v>
      </x:c>
      <x:c r="F16" s="189" t="str">
        <x:v>确认责任方</x:v>
      </x:c>
      <x:c r="G16" s="190" t="str">
        <x:v>依据 / 类别</x:v>
      </x:c>
    </x:row>
    <x:row r="17" ht="58.5" customHeight="1">
      <x:c r="A17" s="202" t="str">
        <x:v>P01</x:v>
      </x:c>
      <x:c r="B17" s="203" t="str">
        <x:v>安装 / 搭建期</x:v>
      </x:c>
      <x:c r="C17" s="203" t="str">
        <x:v>MID/ACC/OS 等初次安装的期间。</x:v>
      </x:c>
      <x:c r="D17" s="203" t="str">
        <x:v>记录产品、安装/更新时间；不要混入正常运行流量。</x:v>
      </x:c>
      <x:c r="E17" s="203" t="str">
        <x:v>一次性的初始通信量</x:v>
      </x:c>
      <x:c r="F17" s="203" t="str">
        <x:v>ITOM（PoC 实测）</x:v>
      </x:c>
      <x:c r="G17" s="205" t="str">
        <x:v>建议</x:v>
      </x:c>
    </x:row>
    <x:row r="18" ht="58.5" customHeight="1">
      <x:c r="A18" s="206" t="str">
        <x:v>P02</x:v>
      </x:c>
      <x:c r="B18" s="207" t="str">
        <x:v>基线</x:v>
      </x:c>
      <x:c r="C18" s="207" t="str">
        <x:v>例如 30～60 分钟，不执行 Discovery；注明 ACC 是否运行。</x:v>
      </x:c>
      <x:c r="D18" s="207" t="str">
        <x:v>记录 OS 更新、维护和其他应用，固定起止时间。</x:v>
      </x:c>
      <x:c r="E18" s="207" t="str">
        <x:v>包含背景通信的基准值</x:v>
      </x:c>
      <x:c r="F18" s="207" t="str">
        <x:v>ITOM（背景记录）</x:v>
      </x:c>
      <x:c r="G18" s="209" t="str">
        <x:v>建议</x:v>
      </x:c>
    </x:row>
    <x:row r="19" ht="58.5" customHeight="1">
      <x:c r="A19" s="206" t="str">
        <x:v>P03</x:v>
      </x:c>
      <x:c r="B19" s="207" t="str">
        <x:v>Discovery 首次</x:v>
      </x:c>
      <x:c r="C19" s="207" t="str">
        <x:v>对少量已批准的代表目标执行 1 次，按 OS/目标类型区分。</x:v>
      </x:c>
      <x:c r="D19" s="207" t="str">
        <x:v>台数、扫描范围、Pattern、并行数和处理时间。</x:v>
      </x:c>
      <x:c r="E19" s="207" t="str">
        <x:v>首次或各目标的实测值</x:v>
      </x:c>
      <x:c r="F19" s="207" t="str">
        <x:v>ITOM（相应方式验证时）</x:v>
      </x:c>
      <x:c r="G19" s="209" t="str">
        <x:v>S16＋建议</x:v>
      </x:c>
    </x:row>
    <x:row r="20" ht="58.5" customHeight="1">
      <x:c r="A20" s="206" t="str">
        <x:v>P04</x:v>
      </x:c>
      <x:c r="B20" s="207" t="str">
        <x:v>Discovery 再次执行</x:v>
      </x:c>
      <x:c r="C20" s="207" t="str">
        <x:v>以同一条件重复多次，例如 3 次。</x:v>
      </x:c>
      <x:c r="D20" s="207" t="str">
        <x:v>区分首次与再次执行，并记录失败/重试和获取差异。</x:v>
      </x:c>
      <x:c r="E20" s="207" t="str">
        <x:v>复现性、单次执行参考量</x:v>
      </x:c>
      <x:c r="F20" s="207" t="str">
        <x:v>ITOM（相应方式验证时）</x:v>
      </x:c>
      <x:c r="G20" s="209" t="str">
        <x:v>建议</x:v>
      </x:c>
    </x:row>
    <x:row r="21" ht="58.5" customHeight="1">
      <x:c r="A21" s="206" t="str">
        <x:v>P05</x:v>
      </x:c>
      <x:c r="B21" s="207" t="str">
        <x:v>ACC 首次发送</x:v>
      </x:c>
      <x:c r="C21" s="207" t="str">
        <x:v>Agent 安装/启用后的初始发送期间。</x:v>
      </x:c>
      <x:c r="D21" s="207" t="str">
        <x:v>区分首次数据发送与 Agent 安装包下载。</x:v>
      </x:c>
      <x:c r="E21" s="207" t="str">
        <x:v>首次的一次性通信量</x:v>
      </x:c>
      <x:c r="F21" s="207" t="str">
        <x:v>ITOM（ACC PoC）</x:v>
      </x:c>
      <x:c r="G21" s="209" t="str">
        <x:v>S03＋建议</x:v>
      </x:c>
    </x:row>
    <x:row r="22" ht="58.5" customHeight="1">
      <x:c r="A22" s="206" t="str">
        <x:v>P06</x:v>
      </x:c>
      <x:c r="B22" s="207" t="str">
        <x:v>ACC 正常运行</x:v>
      </x:c>
      <x:c r="C22" s="207" t="str">
        <x:v>例如稳定状态 24～72 小时，固定 Policy/Check 周期与台数。</x:v>
      </x:c>
      <x:c r="D22" s="207" t="str">
        <x:v>按小时汇总，记录其他通信、更新或目标变动。</x:v>
      </x:c>
      <x:c r="E22" s="207" t="str">
        <x:v>实测对象的每日换算参考量</x:v>
      </x:c>
      <x:c r="F22" s="207" t="str">
        <x:v>ITOM（ACC PoC）</x:v>
      </x:c>
      <x:c r="G22" s="209" t="str">
        <x:v>建议</x:v>
      </x:c>
    </x:row>
    <x:row r="23" ht="58.5" customHeight="1">
      <x:c r="A23" s="206" t="str">
        <x:v>P07</x:v>
      </x:c>
      <x:c r="B23" s="207" t="str">
        <x:v>维护 / 升级</x:v>
      </x:c>
      <x:c r="C23" s="207" t="str">
        <x:v>已批准的产品或 OS 更新期间。</x:v>
      </x:c>
      <x:c r="D23" s="207" t="str">
        <x:v>下载、重启、重连和重试与正常运行分开。</x:v>
      </x:c>
      <x:c r="E23" s="207" t="str">
        <x:v>维护窗口内的一次性通信量</x:v>
      </x:c>
      <x:c r="F23" s="207" t="str">
        <x:v>ITOM（按实际更新）</x:v>
      </x:c>
      <x:c r="G23" s="209" t="str">
        <x:v>S01＋建议</x:v>
      </x:c>
    </x:row>
    <x:row r="24" ht="21" customHeight="1">
      <x:c r="A24" s="182"/>
      <x:c r="B24" s="183"/>
      <x:c r="C24" s="183"/>
      <x:c r="D24" s="183"/>
      <x:c r="E24" s="183"/>
      <x:c r="F24" s="183"/>
      <x:c r="G24" s="184"/>
    </x:row>
    <x:row r="25" ht="25.5" customHeight="1">
      <x:c r="A25" s="185" t="str">
        <x:v>3. ITOM 在 Azure Portal 的测量步骤</x:v>
      </x:c>
      <x:c r="B25" s="186" t="str">
        <x:v>3. ITOM 在 Azure Portal 的测量步骤</x:v>
      </x:c>
      <x:c r="C25" s="186" t="str">
        <x:v>3. ITOM 在 Azure Portal 的测量步骤</x:v>
      </x:c>
      <x:c r="D25" s="186" t="str">
        <x:v>3. ITOM 在 Azure Portal 的测量步骤</x:v>
      </x:c>
      <x:c r="E25" s="186" t="str">
        <x:v>3. ITOM 在 Azure Portal 的测量步骤</x:v>
      </x:c>
      <x:c r="F25" s="186" t="str">
        <x:v>3. ITOM 在 Azure Portal 的测量步骤</x:v>
      </x:c>
      <x:c r="G25" s="187" t="str">
        <x:v>3. ITOM 在 Azure Portal 的测量步骤</x:v>
      </x:c>
    </x:row>
    <x:row r="26" ht="48" customHeight="1">
      <x:c r="A26" s="182" t="str">
        <x:v>1. 分别打开 ACC VM 与 MID VM 的 Monitoring→Metrics，确认 Scope。先测 VM 整体流量；有目标流日志时再分别抽取 C13（ACC→MID）与 C01（MID→Instance）。</x:v>
      </x:c>
      <x:c r="B26" s="183" t="str">
        <x:v>1. 分别打开 ACC VM 与 MID VM 的 Monitoring→Metrics，确认 Scope。先测 VM 整体流量；有目标流日志时再分别抽取 C13（ACC→MID）与 C01（MID→Instance）。</x:v>
      </x:c>
      <x:c r="C26" s="183" t="str">
        <x:v>1. 分别打开 ACC VM 与 MID VM 的 Monitoring→Metrics，确认 Scope。先测 VM 整体流量；有目标流日志时再分别抽取 C13（ACC→MID）与 C01（MID→Instance）。</x:v>
      </x:c>
      <x:c r="D26" s="183" t="str">
        <x:v>1. 分别打开 ACC VM 与 MID VM 的 Monitoring→Metrics，确认 Scope。先测 VM 整体流量；有目标流日志时再分别抽取 C13（ACC→MID）与 C01（MID→Instance）。</x:v>
      </x:c>
      <x:c r="E26" s="183" t="str">
        <x:v>1. 分别打开 ACC VM 与 MID VM 的 Monitoring→Metrics，确认 Scope。先测 VM 整体流量；有目标流日志时再分别抽取 C13（ACC→MID）与 C01（MID→Instance）。</x:v>
      </x:c>
      <x:c r="F26" s="183" t="str">
        <x:v>1. 分别打开 ACC VM 与 MID VM 的 Monitoring→Metrics，确认 Scope。先测 VM 整体流量；有目标流日志时再分别抽取 C13（ACC→MID）与 C01（MID→Instance）。</x:v>
      </x:c>
      <x:c r="G26" s="184" t="str">
        <x:v>1. 分别打开 ACC VM 与 MID VM 的 Monitoring→Metrics，确认 Scope。先测 VM 整体流量；有目标流日志时再分别抽取 C13（ACC→MID）与 C01（MID→Instance）。</x:v>
      </x:c>
    </x:row>
    <x:row r="27" ht="48" customHeight="1">
      <x:c r="A27" s="182" t="str">
        <x:v>2. 选择 Network In Total / Network Out Total，采用 Sum / Total，确认单位为 Bytes。分别固定两个 VM 的同一开始/结束时间，不直接叠加两台 VM 的整体流量。</x:v>
      </x:c>
      <x:c r="B27" s="183" t="str">
        <x:v>2. 选择 Network In Total / Network Out Total，采用 Sum / Total，确认单位为 Bytes。分别固定两个 VM 的同一开始/结束时间，不直接叠加两台 VM 的整体流量。</x:v>
      </x:c>
      <x:c r="C27" s="183" t="str">
        <x:v>2. 选择 Network In Total / Network Out Total，采用 Sum / Total，确认单位为 Bytes。分别固定两个 VM 的同一开始/结束时间，不直接叠加两台 VM 的整体流量。</x:v>
      </x:c>
      <x:c r="D27" s="183" t="str">
        <x:v>2. 选择 Network In Total / Network Out Total，采用 Sum / Total，确认单位为 Bytes。分别固定两个 VM 的同一开始/结束时间，不直接叠加两台 VM 的整体流量。</x:v>
      </x:c>
      <x:c r="E27" s="183" t="str">
        <x:v>2. 选择 Network In Total / Network Out Total，采用 Sum / Total，确认单位为 Bytes。分别固定两个 VM 的同一开始/结束时间，不直接叠加两台 VM 的整体流量。</x:v>
      </x:c>
      <x:c r="F27" s="183" t="str">
        <x:v>2. 选择 Network In Total / Network Out Total，采用 Sum / Total，确认单位为 Bytes。分别固定两个 VM 的同一开始/结束时间，不直接叠加两台 VM 的整体流量。</x:v>
      </x:c>
      <x:c r="G27" s="184" t="str">
        <x:v>2. 选择 Network In Total / Network Out Total，采用 Sum / Total，确认单位为 Bytes。分别固定两个 VM 的同一开始/结束时间，不直接叠加两台 VM 的整体流量。</x:v>
      </x:c>
    </x:row>
    <x:row r="28" ht="48" customHeight="1">
      <x:c r="A28" s="182" t="str">
        <x:v>3. 记录 Absolute time、Portal 时区与 JST 起止时间；记录 ACC/MID/SN 版本、OS、backend-url、实际端口、Policy/Check 周期及测试开始条件。</x:v>
      </x:c>
      <x:c r="B28" s="183" t="str">
        <x:v>3. 记录 Absolute time、Portal 时区与 JST 起止时间；记录 ACC/MID/SN 版本、OS、backend-url、实际端口、Policy/Check 周期及测试开始条件。</x:v>
      </x:c>
      <x:c r="C28" s="183" t="str">
        <x:v>3. 记录 Absolute time、Portal 时区与 JST 起止时间；记录 ACC/MID/SN 版本、OS、backend-url、实际端口、Policy/Check 周期及测试开始条件。</x:v>
      </x:c>
      <x:c r="D28" s="183" t="str">
        <x:v>3. 记录 Absolute time、Portal 时区与 JST 起止时间；记录 ACC/MID/SN 版本、OS、backend-url、实际端口、Policy/Check 周期及测试开始条件。</x:v>
      </x:c>
      <x:c r="E28" s="183" t="str">
        <x:v>3. 记录 Absolute time、Portal 时区与 JST 起止时间；记录 ACC/MID/SN 版本、OS、backend-url、实际端口、Policy/Check 周期及测试开始条件。</x:v>
      </x:c>
      <x:c r="F28" s="183" t="str">
        <x:v>3. 记录 Absolute time、Portal 时区与 JST 起止时间；记录 ACC/MID/SN 版本、OS、backend-url、实际端口、Policy/Check 周期及测试开始条件。</x:v>
      </x:c>
      <x:c r="G28" s="184" t="str">
        <x:v>3. 记录 Absolute time、Portal 时区与 JST 起止时间；记录 ACC/MID/SN 版本、OS、backend-url、实际端口、Policy/Check 周期及测试开始条件。</x:v>
      </x:c>
    </x:row>
    <x:row r="29" ht="48" customHeight="1">
      <x:c r="A29" s="182" t="str">
        <x:v>4. 分别测初次发送、稳定运行与安装/更新。稳定运行建议至少覆盖完整采集周期，例如 24 小时；记录后台更新、其他任务、重试、断线重连与成功情况。</x:v>
      </x:c>
      <x:c r="B29" s="183" t="str">
        <x:v>4. 分别测初次发送、稳定运行与安装/更新。稳定运行建议至少覆盖完整采集周期，例如 24 小时；记录后台更新、其他任务、重试、断线重连与成功情况。</x:v>
      </x:c>
      <x:c r="C29" s="183" t="str">
        <x:v>4. 分别测初次发送、稳定运行与安装/更新。稳定运行建议至少覆盖完整采集周期，例如 24 小时；记录后台更新、其他任务、重试、断线重连与成功情况。</x:v>
      </x:c>
      <x:c r="D29" s="183" t="str">
        <x:v>4. 分别测初次发送、稳定运行与安装/更新。稳定运行建议至少覆盖完整采集周期，例如 24 小时；记录后台更新、其他任务、重试、断线重连与成功情况。</x:v>
      </x:c>
      <x:c r="E29" s="183" t="str">
        <x:v>4. 分别测初次发送、稳定运行与安装/更新。稳定运行建议至少覆盖完整采集周期，例如 24 小时；记录后台更新、其他任务、重试、断线重连与成功情况。</x:v>
      </x:c>
      <x:c r="F29" s="183" t="str">
        <x:v>4. 分别测初次发送、稳定运行与安装/更新。稳定运行建议至少覆盖完整采集周期，例如 24 小时；记录后台更新、其他任务、重试、断线重连与成功情况。</x:v>
      </x:c>
      <x:c r="G29" s="184" t="str">
        <x:v>4. 分别测初次发送、稳定运行与安装/更新。稳定运行建议至少覆盖完整采集周期，例如 24 小时；记录后台更新、其他任务、重试、断线重连与成功情况。</x:v>
      </x:c>
    </x:row>
    <x:row r="30" ht="48" customHeight="1">
      <x:c r="A30" s="182" t="str">
        <x:v>5. 导出指标或保存目标流日志与画面证据，填入第 05 页原始 Bytes、期间、台数、次数和记录 ID。只有全 NIC 数据时标记“VM整体值”，不当作已分离的 ACC 专属量。</x:v>
      </x:c>
      <x:c r="B30" s="183" t="str">
        <x:v>5. 导出指标或保存目标流日志与画面证据，填入第 05 页原始 Bytes、期间、台数、次数和记录 ID。只有全 NIC 数据时标记“VM整体值”，不当作已分离的 ACC 专属量。</x:v>
      </x:c>
      <x:c r="C30" s="183" t="str">
        <x:v>5. 导出指标或保存目标流日志与画面证据，填入第 05 页原始 Bytes、期间、台数、次数和记录 ID。只有全 NIC 数据时标记“VM整体值”，不当作已分离的 ACC 专属量。</x:v>
      </x:c>
      <x:c r="D30" s="183" t="str">
        <x:v>5. 导出指标或保存目标流日志与画面证据，填入第 05 页原始 Bytes、期间、台数、次数和记录 ID。只有全 NIC 数据时标记“VM整体值”，不当作已分离的 ACC 专属量。</x:v>
      </x:c>
      <x:c r="E30" s="183" t="str">
        <x:v>5. 导出指标或保存目标流日志与画面证据，填入第 05 页原始 Bytes、期间、台数、次数和记录 ID。只有全 NIC 数据时标记“VM整体值”，不当作已分离的 ACC 专属量。</x:v>
      </x:c>
      <x:c r="F30" s="183" t="str">
        <x:v>5. 导出指标或保存目标流日志与画面证据，填入第 05 页原始 Bytes、期间、台数、次数和记录 ID。只有全 NIC 数据时标记“VM整体值”，不当作已分离的 ACC 专属量。</x:v>
      </x:c>
      <x:c r="G30" s="184" t="str">
        <x:v>5. 导出指标或保存目标流日志与画面证据，填入第 05 页原始 Bytes、期间、台数、次数和记录 ID。只有全 NIC 数据时标记“VM整体值”，不当作已分离的 ACC 专属量。</x:v>
      </x:c>
    </x:row>
    <x:row r="31" ht="48" customHeight="1">
      <x:c r="A31" s="182" t="str">
        <x:v>6. 将采纳值、记录 ID 和适用条件整理到本页第 6/7 节，通信条件回填第 03 页。只在数据与周期完整时给出 MB/台/次、MB/台/日或 MB/MID/日参考。</x:v>
      </x:c>
      <x:c r="B31" s="183" t="str">
        <x:v>6. 将采纳值、记录 ID 和适用条件整理到本页第 6/7 节，通信条件回填第 03 页。只在数据与周期完整时给出 MB/台/次、MB/台/日或 MB/MID/日参考。</x:v>
      </x:c>
      <x:c r="C31" s="183" t="str">
        <x:v>6. 将采纳值、记录 ID 和适用条件整理到本页第 6/7 节，通信条件回填第 03 页。只在数据与周期完整时给出 MB/台/次、MB/台/日或 MB/MID/日参考。</x:v>
      </x:c>
      <x:c r="D31" s="183" t="str">
        <x:v>6. 将采纳值、记录 ID 和适用条件整理到本页第 6/7 节，通信条件回填第 03 页。只在数据与周期完整时给出 MB/台/次、MB/台/日或 MB/MID/日参考。</x:v>
      </x:c>
      <x:c r="E31" s="183" t="str">
        <x:v>6. 将采纳值、记录 ID 和适用条件整理到本页第 6/7 节，通信条件回填第 03 页。只在数据与周期完整时给出 MB/台/次、MB/台/日或 MB/MID/日参考。</x:v>
      </x:c>
      <x:c r="F31" s="183" t="str">
        <x:v>6. 将采纳值、记录 ID 和适用条件整理到本页第 6/7 节，通信条件回填第 03 页。只在数据与周期完整时给出 MB/台/次、MB/台/日或 MB/MID/日参考。</x:v>
      </x:c>
      <x:c r="G31" s="184" t="str">
        <x:v>6. 将采纳值、记录 ID 和适用条件整理到本页第 6/7 节，通信条件回填第 03 页。只在数据与周期完整时给出 MB/台/次、MB/台/日或 MB/MID/日参考。</x:v>
      </x:c>
    </x:row>
    <x:row r="32" ht="21" customHeight="1">
      <x:c r="A32" s="182"/>
      <x:c r="B32" s="183"/>
      <x:c r="C32" s="183"/>
      <x:c r="D32" s="183"/>
      <x:c r="E32" s="183"/>
      <x:c r="F32" s="183"/>
      <x:c r="G32" s="181" t="str">
        <x:v>S12
01_事项概览
参见官方来源</x:v>
      </x:c>
    </x:row>
    <x:row r="33" ht="21" customHeight="1">
      <x:c r="A33" s="182"/>
      <x:c r="B33" s="183"/>
      <x:c r="C33" s="183"/>
      <x:c r="D33" s="183"/>
      <x:c r="E33" s="183"/>
      <x:c r="F33" s="183"/>
      <x:c r="G33" s="184"/>
    </x:row>
    <x:row r="34" ht="25.5" customHeight="1">
      <x:c r="A34" s="185" t="str">
        <x:v>4. 路径与汇总规则</x:v>
      </x:c>
      <x:c r="B34" s="186" t="str">
        <x:v>4. 路径与汇总规则</x:v>
      </x:c>
      <x:c r="C34" s="186" t="str">
        <x:v>4. 路径与汇总规则</x:v>
      </x:c>
      <x:c r="D34" s="186" t="str">
        <x:v>4. 路径与汇总规则</x:v>
      </x:c>
      <x:c r="E34" s="186" t="str">
        <x:v>4. 路径与汇总规则</x:v>
      </x:c>
      <x:c r="F34" s="186" t="str">
        <x:v>4. 路径与汇总规则</x:v>
      </x:c>
      <x:c r="G34" s="187" t="str">
        <x:v>4. 路径与汇总规则</x:v>
      </x:c>
    </x:row>
    <x:row r="35" ht="48.75" customHeight="1">
      <x:c r="A35" s="191" t="str">
        <x:v>内部</x:v>
      </x:c>
      <x:c r="B35" s="192" t="str">
        <x:v>内部</x:v>
      </x:c>
      <x:c r="C35" s="183" t="str">
        <x:v>MID ↔ 目标设备，或 ACC ↔ MID</x:v>
      </x:c>
      <x:c r="D35" s="183" t="str">
        <x:v>MID ↔ 目标设备，或 ACC ↔ MID</x:v>
      </x:c>
      <x:c r="E35" s="183" t="str">
        <x:v>用于认证/采集和 Agent 发送的路径；供目标管理侧判断带宽与通信许可。</x:v>
      </x:c>
      <x:c r="F35" s="183" t="str">
        <x:v>用于认证/采集和 Agent 发送的路径；供目标管理侧判断带宽与通信许可。</x:v>
      </x:c>
      <x:c r="G35" s="184" t="str">
        <x:v>用于认证/采集和 Agent 发送的路径；供目标管理侧判断带宽与通信许可。</x:v>
      </x:c>
    </x:row>
    <x:row r="36" ht="48.75" customHeight="1">
      <x:c r="A36" s="191" t="str">
        <x:v>外部 / SaaS</x:v>
      </x:c>
      <x:c r="B36" s="192" t="str">
        <x:v>外部 / SaaS</x:v>
      </x:c>
      <x:c r="C36" s="183" t="str">
        <x:v>MID ↔ ServiceNow Instance</x:v>
      </x:c>
      <x:c r="D36" s="183" t="str">
        <x:v>MID ↔ ServiceNow Instance</x:v>
      </x:c>
      <x:c r="E36" s="183" t="str">
        <x:v>提交到 Instance 的流量；与内部 ACC→MID 的 Bytes 不一定相同。</x:v>
      </x:c>
      <x:c r="F36" s="183" t="str">
        <x:v>提交到 Instance 的流量；与内部 ACC→MID 的 Bytes 不一定相同。</x:v>
      </x:c>
      <x:c r="G36" s="184" t="str">
        <x:v>提交到 Instance 的流量；与内部 ACC→MID 的 Bytes 不一定相同。</x:v>
      </x:c>
    </x:row>
    <x:row r="37" ht="48.75" customHeight="1">
      <x:c r="A37" s="191" t="str">
        <x:v>观测边界</x:v>
      </x:c>
      <x:c r="B37" s="192" t="str">
        <x:v>观测边界</x:v>
      </x:c>
      <x:c r="C37" s="183" t="str">
        <x:v>相同通信只在单侧或一个观测位置计数</x:v>
      </x:c>
      <x:c r="D37" s="183" t="str">
        <x:v>相同通信只在单侧或一个观测位置计数</x:v>
      </x:c>
      <x:c r="E37" s="183" t="str">
        <x:v>不要重复叠加发送侧 Out、接收侧 In，或多层 FW/NIC。纳入双向 Bytes 时，记录统计定义。</x:v>
      </x:c>
      <x:c r="F37" s="183" t="str">
        <x:v>不要重复叠加发送侧 Out、接收侧 In，或多层 FW/NIC。纳入双向 Bytes 时，记录统计定义。</x:v>
      </x:c>
      <x:c r="G37" s="184" t="str">
        <x:v>不要重复叠加发送侧 Out、接收侧 In，或多层 FW/NIC。纳入双向 Bytes 时，记录统计定义。</x:v>
      </x:c>
    </x:row>
    <x:row r="38" ht="48.75" customHeight="1">
      <x:c r="A38" s="191" t="str">
        <x:v>单位</x:v>
      </x:c>
      <x:c r="B38" s="192" t="str">
        <x:v>单位</x:v>
      </x:c>
      <x:c r="C38" s="183" t="str">
        <x:v>保留原始 Bytes，提交 MB 与 GB 的十进制换算</x:v>
      </x:c>
      <x:c r="D38" s="183" t="str">
        <x:v>保留原始 Bytes，提交 MB 与 GB 的十进制换算</x:v>
      </x:c>
      <x:c r="E38" s="183" t="str">
        <x:v>1 MB = 1,000,000 Bytes；1 GB = 1,000,000,000 Bytes。GB/GiB、MB/MiB 不混用；按次/台/日/MID 的口径分别标注。</x:v>
      </x:c>
      <x:c r="F38" s="183" t="str">
        <x:v>1 MB = 1,000,000 Bytes；1 GB = 1,000,000,000 Bytes。GB/GiB、MB/MiB 不混用；按次/台/日/MID 的口径分别标注。</x:v>
      </x:c>
      <x:c r="G38" s="184" t="str">
        <x:v>1 MB = 1,000,000 Bytes；1 GB = 1,000,000,000 Bytes。GB/GiB、MB/MiB 不混用；按次/台/日/MID 的口径分别标注。</x:v>
      </x:c>
    </x:row>
    <x:row r="39" ht="48.75" customHeight="1">
      <x:c r="A39" s="191" t="str">
        <x:v>峰值</x:v>
      </x:c>
      <x:c r="B39" s="192" t="str">
        <x:v>峰值</x:v>
      </x:c>
      <x:c r="C39" s="183" t="str">
        <x:v>另外测量固定时间窗口的 Bytes/速率</x:v>
      </x:c>
      <x:c r="D39" s="183" t="str">
        <x:v>另外测量固定时间窗口的 Bytes/速率</x:v>
      </x:c>
      <x:c r="E39" s="183" t="str">
        <x:v>全期间平均 Mbps 不是峰值。例如 1 分钟采样，可从最大 1 分钟 Sum 换算“最大 1 分钟平均速率”。</x:v>
      </x:c>
      <x:c r="F39" s="183" t="str">
        <x:v>全期间平均 Mbps 不是峰值。例如 1 分钟采样，可从最大 1 分钟 Sum 换算“最大 1 分钟平均速率”。</x:v>
      </x:c>
      <x:c r="G39" s="184" t="str">
        <x:v>全期间平均 Mbps 不是峰值。例如 1 分钟采样，可从最大 1 分钟 Sum 换算“最大 1 分钟平均速率”。</x:v>
      </x:c>
    </x:row>
    <x:row r="40" ht="48.75" customHeight="1">
      <x:c r="A40" s="191" t="str">
        <x:v>差分估计</x:v>
      </x:c>
      <x:c r="B40" s="192" t="str">
        <x:v>差分估计</x:v>
      </x:c>
      <x:c r="C40" s="183" t="str">
        <x:v>扣除基线后的结果仍属于估计</x:v>
      </x:c>
      <x:c r="D40" s="183" t="str">
        <x:v>扣除基线后的结果仍属于估计</x:v>
      </x:c>
      <x:c r="E40" s="183" t="str">
        <x:v>使用累计计数器时先求结束值减开始值；重置或负差分需重新测量。扣除背景通信需保留依据，差分仍属于估计；优先直接抽取目标流。</x:v>
      </x:c>
      <x:c r="F40" s="183" t="str">
        <x:v>使用累计计数器时先求结束值减开始值；重置或负差分需重新测量。扣除背景通信需保留依据，差分仍属于估计；优先直接抽取目标流。</x:v>
      </x:c>
      <x:c r="G40" s="184" t="str">
        <x:v>使用累计计数器时先求结束值减开始值；重置或负差分需重新测量。扣除背景通信需保留依据，差分仍属于估计；优先直接抽取目标流。</x:v>
      </x:c>
    </x:row>
    <x:row r="41" ht="48.75" customHeight="1">
      <x:c r="A41" s="191" t="str">
        <x:v>规模换算</x:v>
      </x:c>
      <x:c r="B41" s="192" t="str">
        <x:v>规模换算</x:v>
      </x:c>
      <x:c r="C41" s="183" t="str">
        <x:v>附台数与执行条件后作为参考</x:v>
      </x:c>
      <x:c r="D41" s="183" t="str">
        <x:v>附台数与执行条件后作为参考</x:v>
      </x:c>
      <x:c r="E41" s="183" t="str">
        <x:v>在第 05 页以同条件实测原单位作参考。ACC 台数与 MID 台数分开；MID 共享流量不能简单按 ACC 台数放大。客户版本、采集项、周期、重试、压缩与回线差异均需说明。</x:v>
      </x:c>
      <x:c r="F41" s="183" t="str">
        <x:v>在第 05 页以同条件实测原单位作参考。ACC 台数与 MID 台数分开；MID 共享流量不能简单按 ACC 台数放大。客户版本、采集项、周期、重试、压缩与回线差异均需说明。</x:v>
      </x:c>
      <x:c r="G41" s="184" t="str">
        <x:v>在第 05 页以同条件实测原单位作参考。ACC 台数与 MID 台数分开；MID 共享流量不能简单按 ACC 台数放大。客户版本、采集项、周期、重试、压缩与回线差异均需说明。</x:v>
      </x:c>
    </x:row>
    <x:row r="42" ht="21" customHeight="1">
      <x:c r="A42" s="182"/>
      <x:c r="B42" s="183"/>
      <x:c r="C42" s="183"/>
      <x:c r="D42" s="183"/>
      <x:c r="E42" s="183"/>
      <x:c r="F42" s="183"/>
      <x:c r="G42" s="184"/>
    </x:row>
    <x:row r="43" ht="25.5" customHeight="1">
      <x:c r="A43" s="185" t="str">
        <x:v>5. 提交前检查与环境审查</x:v>
      </x:c>
      <x:c r="B43" s="186" t="str">
        <x:v>5. 提交前检查与环境审查</x:v>
      </x:c>
      <x:c r="C43" s="186" t="str">
        <x:v>5. 提交前检查与环境审查</x:v>
      </x:c>
      <x:c r="D43" s="186" t="str">
        <x:v>5. 提交前检查与环境审查</x:v>
      </x:c>
      <x:c r="E43" s="186" t="str">
        <x:v>5. 提交前检查与环境审查</x:v>
      </x:c>
      <x:c r="F43" s="186" t="str">
        <x:v>5. 提交前检查与环境审查</x:v>
      </x:c>
      <x:c r="G43" s="187" t="str">
        <x:v>5. 提交前检查与环境审查</x:v>
      </x:c>
    </x:row>
    <x:row r="44" ht="85" customHeight="1">
      <x:c r="A44" s="194" t="str">
        <x:v>ITOM 检查：通信 ID、实际地址/端口、PoC 版本/Policy 周期、阶段、JST 期间、单侧观测边界、原始 Bytes、记录 ID、成功/重试、背景通信与单位。环境方审查：计划台数/频率、相关回线、FW/Proxy/NAT、可用带宽、维护窗口及现场差异。安装总量、正常每日量、平均 Mbps 与峰值分开提供。</x:v>
      </x:c>
      <x:c r="B44" s="195" t="str">
        <x:v>ITOM 检查：通信 ID、实际地址/端口、PoC 版本/Policy 周期、阶段、JST 期间、单侧观测边界、原始 Bytes、记录 ID、成功/重试、背景通信与单位。环境方审查：计划台数/频率、相关回线、FW/Proxy/NAT、可用带宽、维护窗口及现场差异。安装总量、正常每日量、平均 Mbps 与峰值分开提供。</x:v>
      </x:c>
      <x:c r="C44" s="195" t="str">
        <x:v>ITOM 检查：通信 ID、实际地址/端口、PoC 版本/Policy 周期、阶段、JST 期间、单侧观测边界、原始 Bytes、记录 ID、成功/重试、背景通信与单位。环境方审查：计划台数/频率、相关回线、FW/Proxy/NAT、可用带宽、维护窗口及现场差异。安装总量、正常每日量、平均 Mbps 与峰值分开提供。</x:v>
      </x:c>
      <x:c r="D44" s="195" t="str">
        <x:v>ITOM 检查：通信 ID、实际地址/端口、PoC 版本/Policy 周期、阶段、JST 期间、单侧观测边界、原始 Bytes、记录 ID、成功/重试、背景通信与单位。环境方审查：计划台数/频率、相关回线、FW/Proxy/NAT、可用带宽、维护窗口及现场差异。安装总量、正常每日量、平均 Mbps 与峰值分开提供。</x:v>
      </x:c>
      <x:c r="E44" s="195" t="str">
        <x:v>ITOM 检查：通信 ID、实际地址/端口、PoC 版本/Policy 周期、阶段、JST 期间、单侧观测边界、原始 Bytes、记录 ID、成功/重试、背景通信与单位。环境方审查：计划台数/频率、相关回线、FW/Proxy/NAT、可用带宽、维护窗口及现场差异。安装总量、正常每日量、平均 Mbps 与峰值分开提供。</x:v>
      </x:c>
      <x:c r="F44" s="195" t="str">
        <x:v>ITOM 检查：通信 ID、实际地址/端口、PoC 版本/Policy 周期、阶段、JST 期间、单侧观测边界、原始 Bytes、记录 ID、成功/重试、背景通信与单位。环境方审查：计划台数/频率、相关回线、FW/Proxy/NAT、可用带宽、维护窗口及现场差异。安装总量、正常每日量、平均 Mbps 与峰值分开提供。</x:v>
      </x:c>
      <x:c r="G44" s="196" t="str">
        <x:v>ITOM 检查：通信 ID、实际地址/端口、PoC 版本/Policy 周期、阶段、JST 期间、单侧观测边界、原始 Bytes、记录 ID、成功/重试、背景通信与单位。环境方审查：计划台数/频率、相关回线、FW/Proxy/NAT、可用带宽、维护窗口及现场差异。安装总量、正常每日量、平均 Mbps 与峰值分开提供。</x:v>
      </x:c>
    </x:row>
    <x:row r="45" ht="21" customHeight="1">
      <x:c r="A45" s="182"/>
      <x:c r="B45" s="183"/>
      <x:c r="C45" s="183"/>
      <x:c r="D45" s="183"/>
      <x:c r="E45" s="183"/>
      <x:c r="F45" s="183"/>
      <x:c r="G45" s="184"/>
    </x:row>
    <x:row r="46" ht="21" customHeight="1">
      <x:c r="A46" s="182"/>
      <x:c r="B46" s="183"/>
      <x:c r="C46" s="183"/>
      <x:c r="D46" s="183"/>
      <x:c r="E46" s="183"/>
      <x:c r="F46" s="183"/>
      <x:c r="G46" s="184"/>
    </x:row>
    <x:row r="47" ht="26" customHeight="1">
      <x:c r="A47" s="226" t="str">
        <x:v>6. ITOM 提交清单（已完成的链路事实与待补充的数据分开）</x:v>
      </x:c>
      <x:c r="B47" s="227" t="str">
        <x:v>6. ITOM 提交清单（已完成的链路事实与待补充的数据分开）</x:v>
      </x:c>
      <x:c r="C47" s="227" t="str">
        <x:v>6. ITOM 提交清单（已完成的链路事实与待补充的数据分开）</x:v>
      </x:c>
      <x:c r="D47" s="227" t="str">
        <x:v>6. ITOM 提交清单（已完成的链路事实与待补充的数据分开）</x:v>
      </x:c>
      <x:c r="E47" s="227" t="str">
        <x:v>6. ITOM 提交清单（已完成的链路事实与待补充的数据分开）</x:v>
      </x:c>
      <x:c r="F47" s="227" t="str">
        <x:v>6. ITOM 提交清单（已完成的链路事实与待补充的数据分开）</x:v>
      </x:c>
      <x:c r="G47" s="228" t="str">
        <x:v>6. ITOM 提交清单（已完成的链路事实与待补充的数据分开）</x:v>
      </x:c>
    </x:row>
    <x:row r="48" ht="21" customHeight="1">
      <x:c r="A48" s="182"/>
      <x:c r="B48" s="183"/>
      <x:c r="C48" s="183"/>
      <x:c r="D48" s="183"/>
      <x:c r="E48" s="183"/>
      <x:c r="F48" s="183"/>
      <x:c r="G48" s="184"/>
    </x:row>
    <x:row r="49" ht="42" customHeight="1">
      <x:c r="A49" s="238" t="str">
        <x:v>项目 ID</x:v>
      </x:c>
      <x:c r="B49" s="239" t="str">
        <x:v>提交内容</x:v>
      </x:c>
      <x:c r="C49" s="239" t="str">
        <x:v>当前基础</x:v>
      </x:c>
      <x:c r="D49" s="239" t="str">
        <x:v>ITOM 需提供什么</x:v>
      </x:c>
      <x:c r="E49" s="239" t="str">
        <x:v>提供方</x:v>
      </x:c>
      <x:c r="F49" s="239" t="str">
        <x:v>环境负责人确认什么</x:v>
      </x:c>
      <x:c r="G49" s="240" t="str">
        <x:v>依据</x:v>
      </x:c>
    </x:row>
    <x:row r="50" ht="88" customHeight="1">
      <x:c r="A50" s="232" t="str">
        <x:v>D01</x:v>
      </x:c>
      <x:c r="B50" s="233" t="str">
        <x:v>PoC 构成</x:v>
      </x:c>
      <x:c r="C50" s="233" t="str">
        <x:v>Azure；ACC 1 台；经 MID 向 Instance 传输</x:v>
      </x:c>
      <x:c r="D50" s="233" t="str">
        <x:v>测试日期、ACC/MID/SN 版本、OS、实际参与 MID 与目标</x:v>
      </x:c>
      <x:c r="E50" s="233" t="str">
        <x:v>ITOM</x:v>
      </x:c>
      <x:c r="F50" s="233" t="str">
        <x:v>与 Housing/Hosting/据点 LAN 的部署差异</x:v>
      </x:c>
      <x:c r="G50" s="234" t="str">
        <x:v>实施方说明</x:v>
      </x:c>
    </x:row>
    <x:row r="51" ht="88" customHeight="1">
      <x:c r="A51" s="232" t="str">
        <x:v>D02</x:v>
      </x:c>
      <x:c r="B51" s="233" t="str">
        <x:v>通信条件</x:v>
      </x:c>
      <x:c r="C51" s="233" t="str">
        <x:v>链路测试已完成；具体配置待回填</x:v>
      </x:c>
      <x:c r="D51" s="233" t="str">
        <x:v>通信 ID、实际 IP/FQDN/端口、方向、TLS、Proxy/NAT、用途、时机和证据</x:v>
      </x:c>
      <x:c r="E51" s="233" t="str">
        <x:v>ITOM</x:v>
      </x:c>
      <x:c r="F51" s="233" t="str">
        <x:v>本环境地址、路径、FW 许可与申请</x:v>
      </x:c>
      <x:c r="G51" s="234" t="str">
        <x:v>03 页；S03/S18</x:v>
      </x:c>
    </x:row>
    <x:row r="52" ht="88" customHeight="1">
      <x:c r="A52" s="232" t="str">
        <x:v>D03</x:v>
      </x:c>
      <x:c r="B52" s="233" t="str">
        <x:v>采集设置</x:v>
      </x:c>
      <x:c r="C52" s="233" t="str">
        <x:v>未提供 Policy/Check 周期</x:v>
      </x:c>
      <x:c r="D52" s="233" t="str">
        <x:v>采用的采集 Policy、Check、周期、初次/正常采集的开始与结束</x:v>
      </x:c>
      <x:c r="E52" s="233" t="str">
        <x:v>ITOM</x:v>
      </x:c>
      <x:c r="F52" s="233" t="str">
        <x:v>计划采用的采集内容、频率与时间窗口</x:v>
      </x:c>
      <x:c r="G52" s="234" t="str">
        <x:v>PoC 实际配置</x:v>
      </x:c>
    </x:row>
    <x:row r="53" ht="88" customHeight="1">
      <x:c r="A53" s="232" t="str">
        <x:v>D04</x:v>
      </x:c>
      <x:c r="B53" s="233" t="str">
        <x:v>原始流量</x:v>
      </x:c>
      <x:c r="C53" s="233" t="str">
        <x:v>实测期间与 Bytes 未提供</x:v>
      </x:c>
      <x:c r="D53" s="233" t="str">
        <x:v>C13 与 C01 分开，注明观测侧、期间、收发 Bytes、成功/重试、背景通信</x:v>
      </x:c>
      <x:c r="E53" s="233" t="str">
        <x:v>ITOM</x:v>
      </x:c>
      <x:c r="F53" s="233" t="str">
        <x:v>需要评估的回线及能否识别该路径</x:v>
      </x:c>
      <x:c r="G53" s="234" t="str">
        <x:v>05 页；S11-S15</x:v>
      </x:c>
    </x:row>
    <x:row r="54" ht="88" customHeight="1">
      <x:c r="A54" s="232" t="str">
        <x:v>D05</x:v>
      </x:c>
      <x:c r="B54" s="233" t="str">
        <x:v>采纳值 / 原单位</x:v>
      </x:c>
      <x:c r="C54" s="233" t="str">
        <x:v>待实测后提供</x:v>
      </x:c>
      <x:c r="D54" s="233" t="str">
        <x:v>记录 ID、MB/台/次或 MB/台/日、MID 每日量；平均与峰值口径；采纳理由</x:v>
      </x:c>
      <x:c r="E54" s="233" t="str">
        <x:v>ITOM</x:v>
      </x:c>
      <x:c r="F54" s="233" t="str">
        <x:v>本环境台数、MID 数、频率和允许网络影响</x:v>
      </x:c>
      <x:c r="G54" s="234" t="str">
        <x:v>05 页原单位表</x:v>
      </x:c>
    </x:row>
    <x:row r="55" ht="88" customHeight="1">
      <x:c r="A55" s="232" t="str">
        <x:v>D06</x:v>
      </x:c>
      <x:c r="B55" s="233" t="str">
        <x:v>差异与后续验证</x:v>
      </x:c>
      <x:c r="C55" s="233" t="str">
        <x:v>PoC 基准需结合现场条件</x:v>
      </x:c>
      <x:c r="D55" s="233" t="str">
        <x:v>明确哪些路径已实测、哪些仅为参考；列出现场需复核的差异</x:v>
      </x:c>
      <x:c r="E55" s="233" t="str">
        <x:v>ITOM 提供；环境审查</x:v>
      </x:c>
      <x:c r="F55" s="233" t="str">
        <x:v>是否接受、追加条件、实施窗口与负责人</x:v>
      </x:c>
      <x:c r="G55" s="234" t="str">
        <x:v>02/03 页回答</x:v>
      </x:c>
    </x:row>
    <x:row r="56" ht="21" customHeight="1">
      <x:c r="A56" s="182"/>
      <x:c r="B56" s="183"/>
      <x:c r="C56" s="183"/>
      <x:c r="D56" s="183"/>
      <x:c r="E56" s="183"/>
      <x:c r="F56" s="183"/>
      <x:c r="G56" s="184"/>
    </x:row>
    <x:row r="57" ht="21" customHeight="1">
      <x:c r="A57" s="182"/>
      <x:c r="B57" s="183"/>
      <x:c r="C57" s="183"/>
      <x:c r="D57" s="183"/>
      <x:c r="E57" s="183"/>
      <x:c r="F57" s="183"/>
      <x:c r="G57" s="184"/>
    </x:row>
    <x:row r="58" ht="26" customHeight="1">
      <x:c r="A58" s="226" t="str">
        <x:v>7. 路径与阶段的结果提供表（数值由 ITOM 实测后回填）</x:v>
      </x:c>
      <x:c r="B58" s="227" t="str">
        <x:v>7. 路径与阶段的结果提供表（数值由 ITOM 实测后回填）</x:v>
      </x:c>
      <x:c r="C58" s="227" t="str">
        <x:v>7. 路径与阶段的结果提供表（数值由 ITOM 实测后回填）</x:v>
      </x:c>
      <x:c r="D58" s="227" t="str">
        <x:v>7. 路径与阶段的结果提供表（数值由 ITOM 实测后回填）</x:v>
      </x:c>
      <x:c r="E58" s="227" t="str">
        <x:v>7. 路径与阶段的结果提供表（数值由 ITOM 实测后回填）</x:v>
      </x:c>
      <x:c r="F58" s="227" t="str">
        <x:v>7. 路径与阶段的结果提供表（数值由 ITOM 实测后回填）</x:v>
      </x:c>
      <x:c r="G58" s="228" t="str">
        <x:v>7. 路径与阶段的结果提供表（数值由 ITOM 实测后回填）</x:v>
      </x:c>
    </x:row>
    <x:row r="59" ht="42" customHeight="1">
      <x:c r="A59" s="238" t="str">
        <x:v>通信 ID</x:v>
      </x:c>
      <x:c r="B59" s="239" t="str">
        <x:v>路径 / 阶段</x:v>
      </x:c>
      <x:c r="C59" s="239" t="str">
        <x:v>观测边界</x:v>
      </x:c>
      <x:c r="D59" s="239" t="str">
        <x:v>PoC 现状 / 结果口径</x:v>
      </x:c>
      <x:c r="E59" s="239" t="str">
        <x:v>实测记录 ID</x:v>
      </x:c>
      <x:c r="F59" s="239" t="str">
        <x:v>ITOM 提供值与条件</x:v>
      </x:c>
      <x:c r="G59" s="240" t="str">
        <x:v>环境负责人确认</x:v>
      </x:c>
    </x:row>
    <x:row r="60" ht="88" customHeight="1">
      <x:c r="A60" s="232" t="str">
        <x:v>C13</x:v>
      </x:c>
      <x:c r="B60" s="233" t="str">
        <x:v>ACC→MID / 首次采集</x:v>
      </x:c>
      <x:c r="C60" s="233" t="str">
        <x:v>在 ACC 或 MID 一侧识别目标 IP/Port；只选一侧</x:v>
      </x:c>
      <x:c r="D60" s="233" t="str">
        <x:v>链路已测试；首次量待测。MB/台/首次</x:v>
      </x:c>
      <x:c r="E60" s="233" t="str">
        <x:v>L01</x:v>
      </x:c>
      <x:c r="F60" s="241"/>
      <x:c r="G60" s="242"/>
    </x:row>
    <x:row r="61" ht="88" customHeight="1">
      <x:c r="A61" s="232" t="str">
        <x:v>C13</x:v>
      </x:c>
      <x:c r="B61" s="233" t="str">
        <x:v>ACC→MID / 稳定运行</x:v>
      </x:c>
      <x:c r="C61" s="233" t="str">
        <x:v>同一单侧目标流；包含按评估口径采纳的常规通信</x:v>
      </x:c>
      <x:c r="D61" s="233" t="str">
        <x:v>待测。MB/台/日；注明 Policy/Check 周期</x:v>
      </x:c>
      <x:c r="E61" s="233" t="str">
        <x:v>L02</x:v>
      </x:c>
      <x:c r="F61" s="241"/>
      <x:c r="G61" s="242"/>
    </x:row>
    <x:row r="62" ht="88" customHeight="1">
      <x:c r="A62" s="232" t="str">
        <x:v>C01</x:v>
      </x:c>
      <x:c r="B62" s="233" t="str">
        <x:v>MID→Instance / ACC 首次期间</x:v>
      </x:c>
      <x:c r="C62" s="233" t="str">
        <x:v>MID 一侧的 Instance 目标流；区分其他 MID 任务</x:v>
      </x:c>
      <x:c r="D62" s="233" t="str">
        <x:v>链路已测试；期间量待测。MB/选定 MID/期间</x:v>
      </x:c>
      <x:c r="E62" s="233" t="str">
        <x:v>L03</x:v>
      </x:c>
      <x:c r="F62" s="241"/>
      <x:c r="G62" s="242"/>
    </x:row>
    <x:row r="63" ht="88" customHeight="1">
      <x:c r="A63" s="232" t="str">
        <x:v>C01</x:v>
      </x:c>
      <x:c r="B63" s="233" t="str">
        <x:v>MID→Instance / 稳定运行</x:v>
      </x:c>
      <x:c r="C63" s="233" t="str">
        <x:v>MID 一侧的 Instance 目标流；记录 polling 和其他任务</x:v>
      </x:c>
      <x:c r="D63" s="233" t="str">
        <x:v>待测。MB/MID/日；不直接等同 ACC 单台量</x:v>
      </x:c>
      <x:c r="E63" s="233" t="str">
        <x:v>L04</x:v>
      </x:c>
      <x:c r="F63" s="241"/>
      <x:c r="G63" s="242"/>
    </x:row>
    <x:row r="64" ht="88" customHeight="1">
      <x:c r="A64" s="232" t="str">
        <x:v>C05</x:v>
      </x:c>
      <x:c r="B64" s="233" t="str">
        <x:v>ACC→DNS / 使用 MID FQDN 时</x:v>
      </x:c>
      <x:c r="C64" s="233" t="str">
        <x:v>DNS 目标流；按实际名称解析方式确认</x:v>
      </x:c>
      <x:c r="D64" s="233" t="str">
        <x:v>根据 PoC 是否采用 FQDN 提供；不可凭默认值认定实测</x:v>
      </x:c>
      <x:c r="E64" s="233"/>
      <x:c r="F64" s="241"/>
      <x:c r="G64" s="242"/>
    </x:row>
    <x:row r="65" ht="88" customHeight="1">
      <x:c r="A65" s="232" t="str">
        <x:v>C02</x:v>
      </x:c>
      <x:c r="B65" s="233" t="str">
        <x:v>MID 产品下载/更新</x:v>
      </x:c>
      <x:c r="C65" s="233" t="str">
        <x:v>实际下载/配布路径；与 Instance 业务流量分开</x:v>
      </x:c>
      <x:c r="D65" s="233" t="str">
        <x:v>按实际事件提供 MB/次，不混入正常运行</x:v>
      </x:c>
      <x:c r="E65" s="233"/>
      <x:c r="F65" s="241"/>
      <x:c r="G65" s="242"/>
    </x:row>
    <x:row r="66" ht="88" customHeight="1">
      <x:c r="A66" s="232" t="str">
        <x:v>C20</x:v>
      </x:c>
      <x:c r="B66" s="233" t="str">
        <x:v>ACC 安装/更新</x:v>
      </x:c>
      <x:c r="C66" s="233" t="str">
        <x:v>实际配布路径；缓存或共享下载一并记录</x:v>
      </x:c>
      <x:c r="D66" s="233" t="str">
        <x:v>按实际事件提供 MB/次，不混入首次采集</x:v>
      </x:c>
      <x:c r="E66" s="233" t="str">
        <x:v>L07</x:v>
      </x:c>
      <x:c r="F66" s="241"/>
      <x:c r="G66" s="242"/>
    </x:row>
    <x:row r="67" ht="21" customHeight="1">
      <x:c r="A67" s="182"/>
      <x:c r="B67" s="183"/>
      <x:c r="C67" s="183"/>
      <x:c r="D67" s="183"/>
      <x:c r="E67" s="183"/>
      <x:c r="F67" s="183"/>
      <x:c r="G67" s="184"/>
    </x:row>
    <x:row r="68" ht="21" customHeight="1">
      <x:c r="A68" s="182"/>
      <x:c r="B68" s="183"/>
      <x:c r="C68" s="183"/>
      <x:c r="D68" s="183"/>
      <x:c r="E68" s="183"/>
      <x:c r="F68" s="183"/>
      <x:c r="G68" s="184"/>
    </x:row>
    <x:row r="69" ht="21" customHeight="1">
      <x:c r="A69" s="182"/>
      <x:c r="B69" s="183"/>
      <x:c r="C69" s="183"/>
      <x:c r="D69" s="183"/>
      <x:c r="E69" s="183"/>
      <x:c r="F69" s="183"/>
      <x:c r="G69" s="184"/>
    </x:row>
    <x:row r="70" ht="21" customHeight="1">
      <x:c r="A70" s="182"/>
      <x:c r="B70" s="183"/>
      <x:c r="C70" s="183"/>
      <x:c r="D70" s="183"/>
      <x:c r="E70" s="183"/>
      <x:c r="F70" s="183"/>
      <x:c r="G70" s="184"/>
    </x:row>
    <x:row r="71" ht="21" customHeight="1">
      <x:c r="A71" s="182"/>
      <x:c r="B71" s="183"/>
      <x:c r="C71" s="183"/>
      <x:c r="D71" s="183"/>
      <x:c r="E71" s="183"/>
      <x:c r="F71" s="183"/>
      <x:c r="G71" s="184"/>
    </x:row>
    <x:row r="72" ht="21" customHeight="1">
      <x:c r="A72" s="182"/>
      <x:c r="B72" s="183"/>
      <x:c r="C72" s="183"/>
      <x:c r="D72" s="183"/>
      <x:c r="E72" s="183"/>
      <x:c r="F72" s="183"/>
      <x:c r="G72" s="184"/>
    </x:row>
    <x:row r="73" ht="21" customHeight="1">
      <x:c r="A73" s="182"/>
      <x:c r="B73" s="183"/>
      <x:c r="C73" s="183"/>
      <x:c r="D73" s="183"/>
      <x:c r="E73" s="183"/>
      <x:c r="F73" s="183"/>
      <x:c r="G73" s="184"/>
    </x:row>
    <x:row r="74" ht="21" customHeight="1">
      <x:c r="A74" s="182"/>
      <x:c r="B74" s="183"/>
      <x:c r="C74" s="183"/>
      <x:c r="D74" s="183"/>
      <x:c r="E74" s="183"/>
      <x:c r="F74" s="183"/>
      <x:c r="G74" s="184"/>
    </x:row>
    <x:row r="75" ht="21" customHeight="1">
      <x:c r="A75" s="182"/>
      <x:c r="B75" s="183"/>
      <x:c r="C75" s="183"/>
      <x:c r="D75" s="183"/>
      <x:c r="E75" s="183"/>
      <x:c r="F75" s="183"/>
      <x:c r="G75" s="184"/>
    </x:row>
    <x:row r="76" ht="21" customHeight="1">
      <x:c r="A76" s="182"/>
      <x:c r="B76" s="183"/>
      <x:c r="C76" s="183"/>
      <x:c r="D76" s="183"/>
      <x:c r="E76" s="183"/>
      <x:c r="F76" s="183"/>
      <x:c r="G76" s="184"/>
    </x:row>
    <x:row r="77" ht="21" customHeight="1">
      <x:c r="A77" s="182"/>
      <x:c r="B77" s="183"/>
      <x:c r="C77" s="183"/>
      <x:c r="D77" s="183"/>
      <x:c r="E77" s="183"/>
      <x:c r="F77" s="183"/>
      <x:c r="G77" s="184"/>
    </x:row>
    <x:row r="78" ht="21" customHeight="1">
      <x:c r="A78" s="182"/>
      <x:c r="B78" s="183"/>
      <x:c r="C78" s="183"/>
      <x:c r="D78" s="183"/>
      <x:c r="E78" s="183"/>
      <x:c r="F78" s="183"/>
      <x:c r="G78" s="184"/>
    </x:row>
    <x:row r="79" ht="21" customHeight="1">
      <x:c r="A79" s="182"/>
      <x:c r="B79" s="183"/>
      <x:c r="C79" s="183"/>
      <x:c r="D79" s="183"/>
      <x:c r="E79" s="183"/>
      <x:c r="F79" s="183"/>
      <x:c r="G79" s="184"/>
    </x:row>
    <x:row r="80" ht="21" customHeight="1">
      <x:c r="A80" s="182"/>
      <x:c r="B80" s="183"/>
      <x:c r="C80" s="183"/>
      <x:c r="D80" s="183"/>
      <x:c r="E80" s="183"/>
      <x:c r="F80" s="183"/>
      <x:c r="G80" s="184"/>
    </x:row>
    <x:row r="81" ht="21" customHeight="1">
      <x:c r="A81" s="182"/>
      <x:c r="B81" s="183"/>
      <x:c r="C81" s="183"/>
      <x:c r="D81" s="183"/>
      <x:c r="E81" s="183"/>
      <x:c r="F81" s="183"/>
      <x:c r="G81" s="184"/>
    </x:row>
    <x:row r="82" ht="21" customHeight="1">
      <x:c r="A82" s="182"/>
      <x:c r="B82" s="183"/>
      <x:c r="C82" s="183"/>
      <x:c r="D82" s="183"/>
      <x:c r="E82" s="183"/>
      <x:c r="F82" s="183"/>
      <x:c r="G82" s="184"/>
    </x:row>
    <x:row r="83" ht="21" customHeight="1">
      <x:c r="A83" s="182"/>
      <x:c r="B83" s="183"/>
      <x:c r="C83" s="183"/>
      <x:c r="D83" s="183"/>
      <x:c r="E83" s="183"/>
      <x:c r="F83" s="183"/>
      <x:c r="G83" s="184"/>
    </x:row>
    <x:row r="84" ht="21" customHeight="1">
      <x:c r="A84" s="182"/>
      <x:c r="B84" s="183"/>
      <x:c r="C84" s="183"/>
      <x:c r="D84" s="183"/>
      <x:c r="E84" s="183"/>
      <x:c r="F84" s="183"/>
      <x:c r="G84" s="184"/>
    </x:row>
    <x:row r="85" ht="21" customHeight="1">
      <x:c r="A85" s="182"/>
      <x:c r="B85" s="183"/>
      <x:c r="C85" s="183"/>
      <x:c r="D85" s="183"/>
      <x:c r="E85" s="183"/>
      <x:c r="F85" s="183"/>
      <x:c r="G85" s="184"/>
    </x:row>
    <x:row r="86" ht="21" customHeight="1">
      <x:c r="A86" s="182"/>
      <x:c r="B86" s="183"/>
      <x:c r="C86" s="183"/>
      <x:c r="D86" s="183"/>
      <x:c r="E86" s="183"/>
      <x:c r="F86" s="183"/>
      <x:c r="G86" s="184"/>
    </x:row>
    <x:row r="87" ht="21" customHeight="1">
      <x:c r="A87" s="182"/>
      <x:c r="B87" s="183"/>
      <x:c r="C87" s="183"/>
      <x:c r="D87" s="183"/>
      <x:c r="E87" s="183"/>
      <x:c r="F87" s="183"/>
      <x:c r="G87" s="184"/>
    </x:row>
    <x:row r="88" ht="21" customHeight="1">
      <x:c r="A88" s="182"/>
      <x:c r="B88" s="183"/>
      <x:c r="C88" s="183"/>
      <x:c r="D88" s="183"/>
      <x:c r="E88" s="183"/>
      <x:c r="F88" s="183"/>
      <x:c r="G88" s="184"/>
    </x:row>
    <x:row r="89" ht="21" customHeight="1">
      <x:c r="A89" s="182"/>
      <x:c r="B89" s="183"/>
      <x:c r="C89" s="183"/>
      <x:c r="D89" s="183"/>
      <x:c r="E89" s="183"/>
      <x:c r="F89" s="183"/>
      <x:c r="G89" s="184"/>
    </x:row>
    <x:row r="90" ht="21" customHeight="1">
      <x:c r="A90" s="199"/>
      <x:c r="B90" s="200"/>
      <x:c r="C90" s="200"/>
      <x:c r="D90" s="200"/>
      <x:c r="E90" s="200"/>
      <x:c r="F90" s="200"/>
      <x:c r="G90" s="201"/>
    </x:row>
    <x:row r="91">
      <x:c r="A91" s="210"/>
      <x:c r="B91" s="210"/>
      <x:c r="C91" s="210"/>
      <x:c r="D91" s="210"/>
      <x:c r="E91" s="210"/>
      <x:c r="F91" s="210"/>
      <x:c r="G91" s="210"/>
    </x:row>
    <x:row r="92">
      <x:c r="A92" s="210"/>
      <x:c r="B92" s="210"/>
      <x:c r="C92" s="210"/>
      <x:c r="D92" s="210"/>
      <x:c r="E92" s="210"/>
      <x:c r="F92" s="210"/>
      <x:c r="G92" s="210"/>
    </x:row>
    <x:row r="93">
      <x:c r="A93" s="210"/>
      <x:c r="B93" s="210"/>
      <x:c r="C93" s="210"/>
      <x:c r="D93" s="210"/>
      <x:c r="E93" s="210"/>
      <x:c r="F93" s="210"/>
      <x:c r="G93" s="210"/>
    </x:row>
    <x:row r="94">
      <x:c r="A94" s="210"/>
      <x:c r="B94" s="210"/>
      <x:c r="C94" s="210"/>
      <x:c r="D94" s="210"/>
      <x:c r="E94" s="210"/>
      <x:c r="F94" s="210"/>
      <x:c r="G94" s="210"/>
    </x:row>
    <x:row r="95">
      <x:c r="A95" s="210"/>
      <x:c r="B95" s="210"/>
      <x:c r="C95" s="210"/>
      <x:c r="D95" s="210"/>
      <x:c r="E95" s="210"/>
      <x:c r="F95" s="210"/>
      <x:c r="G95" s="210"/>
    </x:row>
    <x:row r="96">
      <x:c r="A96" s="210"/>
      <x:c r="B96" s="210"/>
      <x:c r="C96" s="210"/>
      <x:c r="D96" s="210"/>
      <x:c r="E96" s="210"/>
      <x:c r="F96" s="210"/>
      <x:c r="G96" s="210"/>
    </x:row>
    <x:row r="97">
      <x:c r="A97" s="210"/>
      <x:c r="B97" s="210"/>
      <x:c r="C97" s="210"/>
      <x:c r="D97" s="210"/>
      <x:c r="E97" s="210"/>
      <x:c r="F97" s="210"/>
      <x:c r="G97" s="210"/>
    </x:row>
    <x:row r="98">
      <x:c r="A98" s="210"/>
      <x:c r="B98" s="210"/>
      <x:c r="C98" s="210"/>
      <x:c r="D98" s="210"/>
      <x:c r="E98" s="210"/>
      <x:c r="F98" s="210"/>
      <x:c r="G98" s="210"/>
    </x:row>
    <x:row r="99">
      <x:c r="A99" s="210"/>
      <x:c r="B99" s="210"/>
      <x:c r="C99" s="210"/>
      <x:c r="D99" s="210"/>
      <x:c r="E99" s="210"/>
      <x:c r="F99" s="210"/>
      <x:c r="G99" s="210"/>
    </x:row>
    <x:row r="100">
      <x:c r="A100" s="210"/>
      <x:c r="B100" s="210"/>
      <x:c r="C100" s="210"/>
      <x:c r="D100" s="210"/>
      <x:c r="E100" s="210"/>
      <x:c r="F100" s="210"/>
      <x:c r="G100" s="210"/>
    </x:row>
  </x:sheetData>
  <x:mergeCells>
    <x:mergeCell ref="A2:G2"/>
    <x:mergeCell ref="A3:G3"/>
    <x:mergeCell ref="A5:G5"/>
    <x:mergeCell ref="A6:G6"/>
    <x:mergeCell ref="A15:G15"/>
    <x:mergeCell ref="A25:G25"/>
    <x:mergeCell ref="A26:G26"/>
    <x:mergeCell ref="A27:G27"/>
    <x:mergeCell ref="A28:G28"/>
    <x:mergeCell ref="A29:G29"/>
    <x:mergeCell ref="A30:G30"/>
    <x:mergeCell ref="A31:G31"/>
    <x:mergeCell ref="A34:G34"/>
    <x:mergeCell ref="A35:B35"/>
    <x:mergeCell ref="C35:D35"/>
    <x:mergeCell ref="E35:G35"/>
    <x:mergeCell ref="A36:B36"/>
    <x:mergeCell ref="C36:D36"/>
    <x:mergeCell ref="E36:G36"/>
    <x:mergeCell ref="A37:B37"/>
    <x:mergeCell ref="C37:D37"/>
    <x:mergeCell ref="E37:G37"/>
    <x:mergeCell ref="A38:B38"/>
    <x:mergeCell ref="C38:D38"/>
    <x:mergeCell ref="E38:G38"/>
    <x:mergeCell ref="A39:B39"/>
    <x:mergeCell ref="C39:D39"/>
    <x:mergeCell ref="E39:G39"/>
    <x:mergeCell ref="A40:B40"/>
    <x:mergeCell ref="C40:D40"/>
    <x:mergeCell ref="E40:G40"/>
    <x:mergeCell ref="A41:B41"/>
    <x:mergeCell ref="C41:D41"/>
    <x:mergeCell ref="E41:G41"/>
    <x:mergeCell ref="A43:G43"/>
    <x:mergeCell ref="A44:G44"/>
    <x:mergeCell ref="A47:G47"/>
    <x:mergeCell ref="A58:G58"/>
  </x:mergeCells>
  <x:pageMargins left="0.7" right="0.7" top="0.75" bottom="0.75" header="0.3" footer="0.3"/>
  <x:tableParts count="2">
    <x:tablePart xmlns:r="http://schemas.openxmlformats.org/officeDocument/2006/relationships" r:id="R5b0abf97cbf94905"/>
    <x:tablePart xmlns:r="http://schemas.openxmlformats.org/officeDocument/2006/relationships" r:id="Rda302711a87043f7"/>
  </x:tableParts>
</x:worksheet>
</file>

<file path=xl/worksheets/sheet5.xml><?xml version="1.0" encoding="utf-8"?>
<x:worksheet xmlns:x="http://schemas.openxmlformats.org/spreadsheetml/2006/main">
  <x:sheetPr>
    <x:tabColor rgb="FF444444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7.5" hidden="0" customWidth="1"/>
    <x:col min="2" max="2" width="16.25" hidden="0" customWidth="1"/>
    <x:col min="3" max="3" width="18.75" hidden="0" customWidth="1"/>
    <x:col min="4" max="4" width="29.3799991607666" hidden="0" customWidth="1"/>
    <x:col min="5" max="5" width="21.25" hidden="0" customWidth="1"/>
    <x:col min="6" max="6" width="21.25" hidden="0" customWidth="1"/>
    <x:col min="7" max="7" width="16.8799991607666" hidden="0" customWidth="1"/>
    <x:col min="8" max="8" width="16.8799991607666" hidden="0" customWidth="1"/>
    <x:col min="9" max="9" width="14.380000114440918" hidden="0" customWidth="1"/>
    <x:col min="10" max="10" width="13.75" hidden="0" customWidth="1"/>
    <x:col min="11" max="11" width="15.630000114440918" hidden="0" customWidth="1"/>
    <x:col min="12" max="12" width="22.5" hidden="0" customWidth="1"/>
    <x:col min="13" max="13" width="12.5" hidden="0" customWidth="1"/>
    <x:col min="14" max="14" width="13.130000114440918" hidden="0" customWidth="1"/>
    <x:col min="15" max="15" width="37.5" hidden="0" customWidth="1"/>
    <x:col min="16" max="16" width="16.8799991607666" hidden="0" customWidth="1"/>
  </x:cols>
  <x:sheetData>
    <x:row r="1" ht="21" customHeight="1">
      <x:c r="A1" s="173"/>
      <x:c r="B1" s="174"/>
      <x:c r="C1" s="174"/>
      <x:c r="D1" s="174"/>
      <x:c r="E1" s="174"/>
      <x:c r="F1" s="174"/>
      <x:c r="G1" s="174"/>
      <x:c r="H1" s="174"/>
      <x:c r="I1" s="174"/>
      <x:c r="J1" s="174"/>
      <x:c r="K1" s="174"/>
      <x:c r="L1" s="174"/>
      <x:c r="M1" s="174"/>
      <x:c r="N1" s="174"/>
      <x:c r="O1" s="174"/>
      <x:c r="P1" s="175"/>
    </x:row>
    <x:row r="2" ht="30" customHeight="1">
      <x:c r="A2" s="176" t="str">
        <x:v>通信量记录表（实测后填写）</x:v>
      </x:c>
      <x:c r="B2" s="177" t="str">
        <x:v>通信量记录表（实测后填写）</x:v>
      </x:c>
      <x:c r="C2" s="177" t="str">
        <x:v>通信量记录表（实测后填写）</x:v>
      </x:c>
      <x:c r="D2" s="177" t="str">
        <x:v>通信量记录表（实测后填写）</x:v>
      </x:c>
      <x:c r="E2" s="177" t="str">
        <x:v>通信量记录表（实测后填写）</x:v>
      </x:c>
      <x:c r="F2" s="177" t="str">
        <x:v>通信量记录表（实测后填写）</x:v>
      </x:c>
      <x:c r="G2" s="177" t="str">
        <x:v>通信量记录表（实测后填写）</x:v>
      </x:c>
      <x:c r="H2" s="177" t="str">
        <x:v>通信量记录表（实测后填写）</x:v>
      </x:c>
      <x:c r="I2" s="177" t="str">
        <x:v>通信量记录表（实测后填写）</x:v>
      </x:c>
      <x:c r="J2" s="177" t="str">
        <x:v>通信量记录表（实测后填写）</x:v>
      </x:c>
      <x:c r="K2" s="177" t="str">
        <x:v>通信量记录表（实测后填写）</x:v>
      </x:c>
      <x:c r="L2" s="177" t="str">
        <x:v>通信量记录表（实测后填写）</x:v>
      </x:c>
      <x:c r="M2" s="177" t="str">
        <x:v>通信量记录表（实测后填写）</x:v>
      </x:c>
      <x:c r="N2" s="177" t="str">
        <x:v>通信量记录表（实测后填写）</x:v>
      </x:c>
      <x:c r="O2" s="177" t="str">
        <x:v>通信量记录表（实测后填写）</x:v>
      </x:c>
      <x:c r="P2" s="178" t="str">
        <x:v>通信量记录表（实测后填写）</x:v>
      </x:c>
    </x:row>
    <x:row r="3" ht="48" customHeight="1">
      <x:c r="A3" s="179" t="str">
        <x:v>由 ITOM 在自有 Azure PoC 实测后填写。已预置路径标签，数值和时间未代填。浅灰色为输入，较深灰色为计算；日期统一 JST，收发填写原始 Bytes。</x:v>
      </x:c>
      <x:c r="B3" s="180" t="str">
        <x:v>由 ITOM 在自有 Azure PoC 实测后填写。已预置路径标签，数值和时间未代填。浅灰色为输入，较深灰色为计算；日期统一 JST，收发填写原始 Bytes。</x:v>
      </x:c>
      <x:c r="C3" s="180" t="str">
        <x:v>由 ITOM 在自有 Azure PoC 实测后填写。已预置路径标签，数值和时间未代填。浅灰色为输入，较深灰色为计算；日期统一 JST，收发填写原始 Bytes。</x:v>
      </x:c>
      <x:c r="D3" s="180" t="str">
        <x:v>由 ITOM 在自有 Azure PoC 实测后填写。已预置路径标签，数值和时间未代填。浅灰色为输入，较深灰色为计算；日期统一 JST，收发填写原始 Bytes。</x:v>
      </x:c>
      <x:c r="E3" s="180" t="str">
        <x:v>由 ITOM 在自有 Azure PoC 实测后填写。已预置路径标签，数值和时间未代填。浅灰色为输入，较深灰色为计算；日期统一 JST，收发填写原始 Bytes。</x:v>
      </x:c>
      <x:c r="F3" s="180" t="str">
        <x:v>由 ITOM 在自有 Azure PoC 实测后填写。已预置路径标签，数值和时间未代填。浅灰色为输入，较深灰色为计算；日期统一 JST，收发填写原始 Bytes。</x:v>
      </x:c>
      <x:c r="G3" s="180" t="str">
        <x:v>由 ITOM 在自有 Azure PoC 实测后填写。已预置路径标签，数值和时间未代填。浅灰色为输入，较深灰色为计算；日期统一 JST，收发填写原始 Bytes。</x:v>
      </x:c>
      <x:c r="H3" s="180" t="str">
        <x:v>由 ITOM 在自有 Azure PoC 实测后填写。已预置路径标签，数值和时间未代填。浅灰色为输入，较深灰色为计算；日期统一 JST，收发填写原始 Bytes。</x:v>
      </x:c>
      <x:c r="I3" s="180" t="str">
        <x:v>由 ITOM 在自有 Azure PoC 实测后填写。已预置路径标签，数值和时间未代填。浅灰色为输入，较深灰色为计算；日期统一 JST，收发填写原始 Bytes。</x:v>
      </x:c>
      <x:c r="J3" s="180" t="str">
        <x:v>由 ITOM 在自有 Azure PoC 实测后填写。已预置路径标签，数值和时间未代填。浅灰色为输入，较深灰色为计算；日期统一 JST，收发填写原始 Bytes。</x:v>
      </x:c>
      <x:c r="K3" s="180" t="str">
        <x:v>由 ITOM 在自有 Azure PoC 实测后填写。已预置路径标签，数值和时间未代填。浅灰色为输入，较深灰色为计算；日期统一 JST，收发填写原始 Bytes。</x:v>
      </x:c>
      <x:c r="L3" s="180" t="str">
        <x:v>由 ITOM 在自有 Azure PoC 实测后填写。已预置路径标签，数值和时间未代填。浅灰色为输入，较深灰色为计算；日期统一 JST，收发填写原始 Bytes。</x:v>
      </x:c>
      <x:c r="M3" s="180" t="str">
        <x:v>由 ITOM 在自有 Azure PoC 实测后填写。已预置路径标签，数值和时间未代填。浅灰色为输入，较深灰色为计算；日期统一 JST，收发填写原始 Bytes。</x:v>
      </x:c>
      <x:c r="N3" s="180" t="str">
        <x:v>由 ITOM 在自有 Azure PoC 实测后填写。已预置路径标签，数值和时间未代填。浅灰色为输入，较深灰色为计算；日期统一 JST，收发填写原始 Bytes。</x:v>
      </x:c>
      <x:c r="O3" s="180" t="str">
        <x:v>由 ITOM 在自有 Azure PoC 实测后填写。已预置路径标签，数值和时间未代填。浅灰色为输入，较深灰色为计算；日期统一 JST，收发填写原始 Bytes。</x:v>
      </x:c>
      <x:c r="P3" s="181" t="str">
        <x:v>由 ITOM 在自有 Azure PoC 实测后填写。已预置路径标签，数值和时间未代填。浅灰色为输入，较深灰色为计算；日期统一 JST，收发填写原始 Bytes。</x:v>
      </x:c>
    </x:row>
    <x:row r="4" ht="21" customHeight="1">
      <x:c r="A4" s="182"/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4"/>
    </x:row>
    <x:row r="5" ht="21" customHeight="1">
      <x:c r="A5" s="182" t="str">
        <x:v>Bytes / GB</x:v>
      </x:c>
      <x:c r="B5" s="183" t="str">
        <x:v>Bytes / GB</x:v>
      </x:c>
      <x:c r="C5" s="213" t="n">
        <x:v>1000000000</x:v>
      </x:c>
      <x:c r="D5" s="214" t="str">
        <x:v>每小时秒数</x:v>
      </x:c>
      <x:c r="E5" s="214" t="str">
        <x:v>每小时秒数</x:v>
      </x:c>
      <x:c r="F5" s="213" t="n">
        <x:v>3600</x:v>
      </x:c>
      <x:c r="G5" s="214" t="str">
        <x:v>bits / Mbit</x:v>
      </x:c>
      <x:c r="H5" s="214" t="str">
        <x:v>bits / Mbit</x:v>
      </x:c>
      <x:c r="I5" s="213" t="n">
        <x:v>1000000</x:v>
      </x:c>
      <x:c r="J5" s="197" t="str">
        <x:v>平均 Mbps 不是带宽峰值；换算系数采用十进制单位。</x:v>
      </x:c>
      <x:c r="K5" s="197" t="str">
        <x:v>平均 Mbps 不是带宽峰值；换算系数采用十进制单位。</x:v>
      </x:c>
      <x:c r="L5" s="197" t="str">
        <x:v>平均 Mbps 不是带宽峰值；换算系数采用十进制单位。</x:v>
      </x:c>
      <x:c r="M5" s="197" t="str">
        <x:v>平均 Mbps 不是带宽峰值；换算系数采用十进制单位。</x:v>
      </x:c>
      <x:c r="N5" s="197" t="str">
        <x:v>平均 Mbps 不是带宽峰值；换算系数采用十进制单位。</x:v>
      </x:c>
      <x:c r="O5" s="197" t="str">
        <x:v>平均 Mbps 不是带宽峰值；换算系数采用十进制单位。</x:v>
      </x:c>
      <x:c r="P5" s="198" t="str">
        <x:v>平均 Mbps 不是带宽峰值；换算系数采用十进制单位。</x:v>
      </x:c>
    </x:row>
    <x:row r="6" ht="21" customHeight="1">
      <x:c r="A6" s="182"/>
      <x:c r="B6" s="183"/>
      <x:c r="C6" s="183"/>
      <x:c r="D6" s="183"/>
      <x:c r="E6" s="183"/>
      <x:c r="F6" s="183"/>
      <x:c r="G6" s="183"/>
      <x:c r="H6" s="183"/>
      <x:c r="I6" s="183"/>
      <x:c r="J6" s="183"/>
      <x:c r="K6" s="183"/>
      <x:c r="L6" s="183"/>
      <x:c r="M6" s="183"/>
      <x:c r="N6" s="183"/>
      <x:c r="O6" s="183"/>
      <x:c r="P6" s="184"/>
    </x:row>
    <x:row r="7" ht="60" customHeight="1">
      <x:c r="A7" s="191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B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C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D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E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F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G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H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I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J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K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L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M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N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O7" s="192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  <x:c r="P7" s="193" t="str">
        <x:v>D 列通信 ID 对应第 03/04 页；A 列 Lxx 是实测记录 ID。C13 与 C01 分开记录。同一通信只在单侧观测；全 NIC Metrics 记录为“VM整体值”，不能因测试对象为单台 ACC 就视作 ACC 专属流量。</x:v>
      </x:c>
    </x:row>
    <x:row r="8" ht="21" customHeight="1">
      <x:c r="A8" s="182"/>
      <x:c r="B8" s="183"/>
      <x:c r="C8" s="183"/>
      <x:c r="D8" s="183"/>
      <x:c r="E8" s="183"/>
      <x:c r="F8" s="183"/>
      <x:c r="G8" s="183"/>
      <x:c r="H8" s="183"/>
      <x:c r="I8" s="183"/>
      <x:c r="J8" s="183"/>
      <x:c r="K8" s="183"/>
      <x:c r="L8" s="183"/>
      <x:c r="M8" s="183"/>
      <x:c r="N8" s="183"/>
      <x:c r="O8" s="183"/>
      <x:c r="P8" s="184"/>
    </x:row>
    <x:row r="9" ht="33" customHeight="1">
      <x:c r="A9" s="188" t="str">
        <x:v>ID</x:v>
      </x:c>
      <x:c r="B9" s="189" t="str">
        <x:v>环境</x:v>
      </x:c>
      <x:c r="C9" s="189" t="str">
        <x:v>测量阶段</x:v>
      </x:c>
      <x:c r="D9" s="189" t="str">
        <x:v>通信 ID / 观测对象与边界</x:v>
      </x:c>
      <x:c r="E9" s="189" t="str">
        <x:v>开始时间（JST）</x:v>
      </x:c>
      <x:c r="F9" s="189" t="str">
        <x:v>结束时间（JST）</x:v>
      </x:c>
      <x:c r="G9" s="189" t="str">
        <x:v>接收（Bytes）</x:v>
      </x:c>
      <x:c r="H9" s="189" t="str">
        <x:v>发送（Bytes）</x:v>
      </x:c>
      <x:c r="I9" s="189" t="str">
        <x:v>期间量（GB）</x:v>
      </x:c>
      <x:c r="J9" s="189" t="str">
        <x:v>期间（小时）</x:v>
      </x:c>
      <x:c r="K9" s="189" t="str">
        <x:v>平均（Mbps）</x:v>
      </x:c>
      <x:c r="L9" s="189" t="str">
        <x:v>归属判断</x:v>
      </x:c>
      <x:c r="M9" s="189" t="str">
        <x:v>目标台数</x:v>
      </x:c>
      <x:c r="N9" s="189" t="str">
        <x:v>执行次数 / 观察天数</x:v>
      </x:c>
      <x:c r="O9" s="189" t="str">
        <x:v>条件 / 其他通信 / 证据</x:v>
      </x:c>
      <x:c r="P9" s="190" t="str">
        <x:v>确认状态</x:v>
      </x:c>
    </x:row>
    <x:row r="10" ht="48.75" customHeight="1">
      <x:c r="A10" s="202" t="str">
        <x:v>L01</x:v>
      </x:c>
      <x:c r="B10" s="204" t="str">
        <x:v>Azure PoC</x:v>
      </x:c>
      <x:c r="C10" s="204" t="str">
        <x:v>ACC首次</x:v>
      </x:c>
      <x:c r="D10" s="204" t="str">
        <x:v>C13 | ACC→MID 首次采集（单侧目标流）</x:v>
      </x:c>
      <x:c r="E10" s="215"/>
      <x:c r="F10" s="215"/>
      <x:c r="G10" s="216"/>
      <x:c r="H10" s="216"/>
      <x:c r="I10" s="217" t="str">
        <x:f>IF(AND(ISNUMBER(G10),ISNUMBER(H10)),IF(AND(G10&gt;=0,H10&gt;=0),SUM(G10:H10)/$C$5,"请核对输入"),"")</x:f>
      </x:c>
      <x:c r="J10" s="217" t="str">
        <x:f>IF(AND(ISNUMBER(E10),ISNUMBER(F10)),IF(F10&gt;E10,(F10-E10)*24,"请核对时间"),"")</x:f>
      </x:c>
      <x:c r="K10" s="217" t="str">
        <x:f>IF(AND(ISNUMBER(I10),ISNUMBER(J10)),I10*$C$5*8/(J10*$F$5*$I$5),"")</x:f>
      </x:c>
      <x:c r="L10" s="204" t="str">
        <x:v>未拆分</x:v>
      </x:c>
      <x:c r="M10" s="204" t="n">
        <x:v>1</x:v>
      </x:c>
      <x:c r="N10" s="204"/>
      <x:c r="O10" s="204"/>
      <x:c r="P10" s="218" t="str">
        <x:v>未测量</x:v>
      </x:c>
    </x:row>
    <x:row r="11" ht="48.75" customHeight="1">
      <x:c r="A11" s="206" t="str">
        <x:v>L02</x:v>
      </x:c>
      <x:c r="B11" s="208" t="str">
        <x:v>Azure PoC</x:v>
      </x:c>
      <x:c r="C11" s="208" t="str">
        <x:v>ACC正常运行</x:v>
      </x:c>
      <x:c r="D11" s="208" t="str">
        <x:v>C13 | ACC→MID 稳定运行（单侧目标流）</x:v>
      </x:c>
      <x:c r="E11" s="219"/>
      <x:c r="F11" s="219"/>
      <x:c r="G11" s="220"/>
      <x:c r="H11" s="220"/>
      <x:c r="I11" s="221" t="str">
        <x:f>IF(AND(ISNUMBER(G11),ISNUMBER(H11)),IF(AND(G11&gt;=0,H11&gt;=0),SUM(G11:H11)/$C$5,"请核对输入"),"")</x:f>
      </x:c>
      <x:c r="J11" s="221" t="str">
        <x:f>IF(AND(ISNUMBER(E11),ISNUMBER(F11)),IF(F11&gt;E11,(F11-E11)*24,"请核对时间"),"")</x:f>
      </x:c>
      <x:c r="K11" s="221" t="str">
        <x:f>IF(AND(ISNUMBER(I11),ISNUMBER(J11)),I11*$C$5*8/(J11*$F$5*$I$5),"")</x:f>
      </x:c>
      <x:c r="L11" s="208" t="str">
        <x:v>未拆分</x:v>
      </x:c>
      <x:c r="M11" s="208" t="n">
        <x:v>1</x:v>
      </x:c>
      <x:c r="N11" s="208"/>
      <x:c r="O11" s="208"/>
      <x:c r="P11" s="222" t="str">
        <x:v>未测量</x:v>
      </x:c>
    </x:row>
    <x:row r="12" ht="48.75" customHeight="1">
      <x:c r="A12" s="206" t="str">
        <x:v>L03</x:v>
      </x:c>
      <x:c r="B12" s="208" t="str">
        <x:v>Azure PoC</x:v>
      </x:c>
      <x:c r="C12" s="208" t="str">
        <x:v>ACC首次</x:v>
      </x:c>
      <x:c r="D12" s="208" t="str">
        <x:v>C01 | MID→Instance ACC首次期间（单侧目标流）</x:v>
      </x:c>
      <x:c r="E12" s="219"/>
      <x:c r="F12" s="219"/>
      <x:c r="G12" s="220"/>
      <x:c r="H12" s="220"/>
      <x:c r="I12" s="221" t="str">
        <x:f>IF(AND(ISNUMBER(G12),ISNUMBER(H12)),IF(AND(G12&gt;=0,H12&gt;=0),SUM(G12:H12)/$C$5,"请核对输入"),"")</x:f>
      </x:c>
      <x:c r="J12" s="221" t="str">
        <x:f>IF(AND(ISNUMBER(E12),ISNUMBER(F12)),IF(F12&gt;E12,(F12-E12)*24,"请核对时间"),"")</x:f>
      </x:c>
      <x:c r="K12" s="221" t="str">
        <x:f>IF(AND(ISNUMBER(I12),ISNUMBER(J12)),I12*$C$5*8/(J12*$F$5*$I$5),"")</x:f>
      </x:c>
      <x:c r="L12" s="208" t="str">
        <x:v>未拆分</x:v>
      </x:c>
      <x:c r="M12" s="208"/>
      <x:c r="N12" s="208"/>
      <x:c r="O12" s="208"/>
      <x:c r="P12" s="222" t="str">
        <x:v>未测量</x:v>
      </x:c>
    </x:row>
    <x:row r="13" ht="48.75" customHeight="1">
      <x:c r="A13" s="206" t="str">
        <x:v>L04</x:v>
      </x:c>
      <x:c r="B13" s="208" t="str">
        <x:v>Azure PoC</x:v>
      </x:c>
      <x:c r="C13" s="208" t="str">
        <x:v>ACC正常运行</x:v>
      </x:c>
      <x:c r="D13" s="208" t="str">
        <x:v>C01 | MID→Instance 稳定运行（单侧目标流）</x:v>
      </x:c>
      <x:c r="E13" s="219"/>
      <x:c r="F13" s="219"/>
      <x:c r="G13" s="220"/>
      <x:c r="H13" s="220"/>
      <x:c r="I13" s="221" t="str">
        <x:f>IF(AND(ISNUMBER(G13),ISNUMBER(H13)),IF(AND(G13&gt;=0,H13&gt;=0),SUM(G13:H13)/$C$5,"请核对输入"),"")</x:f>
      </x:c>
      <x:c r="J13" s="221" t="str">
        <x:f>IF(AND(ISNUMBER(E13),ISNUMBER(F13)),IF(F13&gt;E13,(F13-E13)*24,"请核对时间"),"")</x:f>
      </x:c>
      <x:c r="K13" s="221" t="str">
        <x:f>IF(AND(ISNUMBER(I13),ISNUMBER(J13)),I13*$C$5*8/(J13*$F$5*$I$5),"")</x:f>
      </x:c>
      <x:c r="L13" s="208" t="str">
        <x:v>未拆分</x:v>
      </x:c>
      <x:c r="M13" s="208"/>
      <x:c r="N13" s="208"/>
      <x:c r="O13" s="208"/>
      <x:c r="P13" s="222" t="str">
        <x:v>未测量</x:v>
      </x:c>
    </x:row>
    <x:row r="14" ht="48.75" customHeight="1">
      <x:c r="A14" s="206" t="str">
        <x:v>L05</x:v>
      </x:c>
      <x:c r="B14" s="208" t="str">
        <x:v>Azure PoC</x:v>
      </x:c>
      <x:c r="C14" s="208" t="str">
        <x:v>ACC正常运行</x:v>
      </x:c>
      <x:c r="D14" s="208" t="str">
        <x:v>ACC VM | 所有 NIC（未分离 C13 与其他通信）</x:v>
      </x:c>
      <x:c r="E14" s="219"/>
      <x:c r="F14" s="219"/>
      <x:c r="G14" s="220"/>
      <x:c r="H14" s="220"/>
      <x:c r="I14" s="221" t="str">
        <x:f>IF(AND(ISNUMBER(G14),ISNUMBER(H14)),IF(AND(G14&gt;=0,H14&gt;=0),SUM(G14:H14)/$C$5,"请核对输入"),"")</x:f>
      </x:c>
      <x:c r="J14" s="221" t="str">
        <x:f>IF(AND(ISNUMBER(E14),ISNUMBER(F14)),IF(F14&gt;E14,(F14-E14)*24,"请核对时间"),"")</x:f>
      </x:c>
      <x:c r="K14" s="221" t="str">
        <x:f>IF(AND(ISNUMBER(I14),ISNUMBER(J14)),I14*$C$5*8/(J14*$F$5*$I$5),"")</x:f>
      </x:c>
      <x:c r="L14" s="208" t="str">
        <x:v>VM整体值</x:v>
      </x:c>
      <x:c r="M14" s="208" t="n">
        <x:v>1</x:v>
      </x:c>
      <x:c r="N14" s="208"/>
      <x:c r="O14" s="208"/>
      <x:c r="P14" s="222" t="str">
        <x:v>未测量</x:v>
      </x:c>
    </x:row>
    <x:row r="15" ht="48.75" customHeight="1">
      <x:c r="A15" s="206" t="str">
        <x:v>L06</x:v>
      </x:c>
      <x:c r="B15" s="208" t="str">
        <x:v>Azure PoC</x:v>
      </x:c>
      <x:c r="C15" s="208" t="str">
        <x:v>ACC正常运行</x:v>
      </x:c>
      <x:c r="D15" s="208" t="str">
        <x:v>MID VM | 所有 NIC（未分离 C01/C13/其他通信）</x:v>
      </x:c>
      <x:c r="E15" s="219"/>
      <x:c r="F15" s="219"/>
      <x:c r="G15" s="220"/>
      <x:c r="H15" s="220"/>
      <x:c r="I15" s="221" t="str">
        <x:f>IF(AND(ISNUMBER(G15),ISNUMBER(H15)),IF(AND(G15&gt;=0,H15&gt;=0),SUM(G15:H15)/$C$5,"请核对输入"),"")</x:f>
      </x:c>
      <x:c r="J15" s="221" t="str">
        <x:f>IF(AND(ISNUMBER(E15),ISNUMBER(F15)),IF(F15&gt;E15,(F15-E15)*24,"请核对时间"),"")</x:f>
      </x:c>
      <x:c r="K15" s="221" t="str">
        <x:f>IF(AND(ISNUMBER(I15),ISNUMBER(J15)),I15*$C$5*8/(J15*$F$5*$I$5),"")</x:f>
      </x:c>
      <x:c r="L15" s="208" t="str">
        <x:v>VM整体值</x:v>
      </x:c>
      <x:c r="M15" s="208"/>
      <x:c r="N15" s="208"/>
      <x:c r="O15" s="208"/>
      <x:c r="P15" s="222" t="str">
        <x:v>未测量</x:v>
      </x:c>
    </x:row>
    <x:row r="16" ht="48.75" customHeight="1">
      <x:c r="A16" s="206" t="str">
        <x:v>L07</x:v>
      </x:c>
      <x:c r="B16" s="208" t="str">
        <x:v>Azure PoC</x:v>
      </x:c>
      <x:c r="C16" s="208" t="str">
        <x:v>安装/搭建</x:v>
      </x:c>
      <x:c r="D16" s="208" t="str">
        <x:v>C20 | ACC 安装/更新的实际配布路径</x:v>
      </x:c>
      <x:c r="E16" s="219"/>
      <x:c r="F16" s="219"/>
      <x:c r="G16" s="220"/>
      <x:c r="H16" s="220"/>
      <x:c r="I16" s="221" t="str">
        <x:f>IF(AND(ISNUMBER(G16),ISNUMBER(H16)),IF(AND(G16&gt;=0,H16&gt;=0),SUM(G16:H16)/$C$5,"请核对输入"),"")</x:f>
      </x:c>
      <x:c r="J16" s="221" t="str">
        <x:f>IF(AND(ISNUMBER(E16),ISNUMBER(F16)),IF(F16&gt;E16,(F16-E16)*24,"请核对时间"),"")</x:f>
      </x:c>
      <x:c r="K16" s="221" t="str">
        <x:f>IF(AND(ISNUMBER(I16),ISNUMBER(J16)),I16*$C$5*8/(J16*$F$5*$I$5),"")</x:f>
      </x:c>
      <x:c r="L16" s="208" t="str">
        <x:v>未拆分</x:v>
      </x:c>
      <x:c r="M16" s="208" t="n">
        <x:v>1</x:v>
      </x:c>
      <x:c r="N16" s="208"/>
      <x:c r="O16" s="208"/>
      <x:c r="P16" s="222" t="str">
        <x:v>未测量</x:v>
      </x:c>
    </x:row>
    <x:row r="17" ht="48.75" customHeight="1">
      <x:c r="A17" s="206" t="str">
        <x:v>L08</x:v>
      </x:c>
      <x:c r="B17" s="208"/>
      <x:c r="C17" s="208"/>
      <x:c r="D17" s="208"/>
      <x:c r="E17" s="219"/>
      <x:c r="F17" s="219"/>
      <x:c r="G17" s="220"/>
      <x:c r="H17" s="220"/>
      <x:c r="I17" s="221" t="str">
        <x:f>IF(AND(ISNUMBER(G17),ISNUMBER(H17)),IF(AND(G17&gt;=0,H17&gt;=0),SUM(G17:H17)/$C$5,"请核对输入"),"")</x:f>
      </x:c>
      <x:c r="J17" s="221" t="str">
        <x:f>IF(AND(ISNUMBER(E17),ISNUMBER(F17)),IF(F17&gt;E17,(F17-E17)*24,"请核对时间"),"")</x:f>
      </x:c>
      <x:c r="K17" s="221" t="str">
        <x:f>IF(AND(ISNUMBER(I17),ISNUMBER(J17)),I17*$C$5*8/(J17*$F$5*$I$5),"")</x:f>
      </x:c>
      <x:c r="L17" s="208" t="str">
        <x:v>未拆分</x:v>
      </x:c>
      <x:c r="M17" s="208"/>
      <x:c r="N17" s="208"/>
      <x:c r="O17" s="208"/>
      <x:c r="P17" s="222" t="str">
        <x:v>未测量</x:v>
      </x:c>
    </x:row>
    <x:row r="18" ht="48.75" customHeight="1">
      <x:c r="A18" s="206" t="str">
        <x:v>L09</x:v>
      </x:c>
      <x:c r="B18" s="208"/>
      <x:c r="C18" s="208"/>
      <x:c r="D18" s="208"/>
      <x:c r="E18" s="219"/>
      <x:c r="F18" s="219"/>
      <x:c r="G18" s="220"/>
      <x:c r="H18" s="220"/>
      <x:c r="I18" s="221" t="str">
        <x:f>IF(AND(ISNUMBER(G18),ISNUMBER(H18)),IF(AND(G18&gt;=0,H18&gt;=0),SUM(G18:H18)/$C$5,"请核对输入"),"")</x:f>
      </x:c>
      <x:c r="J18" s="221" t="str">
        <x:f>IF(AND(ISNUMBER(E18),ISNUMBER(F18)),IF(F18&gt;E18,(F18-E18)*24,"请核对时间"),"")</x:f>
      </x:c>
      <x:c r="K18" s="221" t="str">
        <x:f>IF(AND(ISNUMBER(I18),ISNUMBER(J18)),I18*$C$5*8/(J18*$F$5*$I$5),"")</x:f>
      </x:c>
      <x:c r="L18" s="208" t="str">
        <x:v>未拆分</x:v>
      </x:c>
      <x:c r="M18" s="208"/>
      <x:c r="N18" s="208"/>
      <x:c r="O18" s="208"/>
      <x:c r="P18" s="222" t="str">
        <x:v>未测量</x:v>
      </x:c>
    </x:row>
    <x:row r="19" ht="48.75" customHeight="1">
      <x:c r="A19" s="206" t="str">
        <x:v>L10</x:v>
      </x:c>
      <x:c r="B19" s="208"/>
      <x:c r="C19" s="208"/>
      <x:c r="D19" s="208"/>
      <x:c r="E19" s="219"/>
      <x:c r="F19" s="219"/>
      <x:c r="G19" s="220"/>
      <x:c r="H19" s="220"/>
      <x:c r="I19" s="221" t="str">
        <x:f>IF(AND(ISNUMBER(G19),ISNUMBER(H19)),IF(AND(G19&gt;=0,H19&gt;=0),SUM(G19:H19)/$C$5,"请核对输入"),"")</x:f>
      </x:c>
      <x:c r="J19" s="221" t="str">
        <x:f>IF(AND(ISNUMBER(E19),ISNUMBER(F19)),IF(F19&gt;E19,(F19-E19)*24,"请核对时间"),"")</x:f>
      </x:c>
      <x:c r="K19" s="221" t="str">
        <x:f>IF(AND(ISNUMBER(I19),ISNUMBER(J19)),I19*$C$5*8/(J19*$F$5*$I$5),"")</x:f>
      </x:c>
      <x:c r="L19" s="208" t="str">
        <x:v>未拆分</x:v>
      </x:c>
      <x:c r="M19" s="208"/>
      <x:c r="N19" s="208"/>
      <x:c r="O19" s="208"/>
      <x:c r="P19" s="222" t="str">
        <x:v>未测量</x:v>
      </x:c>
    </x:row>
    <x:row r="20" ht="48.75" customHeight="1">
      <x:c r="A20" s="206" t="str">
        <x:v>L11</x:v>
      </x:c>
      <x:c r="B20" s="208"/>
      <x:c r="C20" s="208"/>
      <x:c r="D20" s="208"/>
      <x:c r="E20" s="219"/>
      <x:c r="F20" s="219"/>
      <x:c r="G20" s="220"/>
      <x:c r="H20" s="220"/>
      <x:c r="I20" s="221" t="str">
        <x:f>IF(AND(ISNUMBER(G20),ISNUMBER(H20)),IF(AND(G20&gt;=0,H20&gt;=0),SUM(G20:H20)/$C$5,"请核对输入"),"")</x:f>
      </x:c>
      <x:c r="J20" s="221" t="str">
        <x:f>IF(AND(ISNUMBER(E20),ISNUMBER(F20)),IF(F20&gt;E20,(F20-E20)*24,"请核对时间"),"")</x:f>
      </x:c>
      <x:c r="K20" s="221" t="str">
        <x:f>IF(AND(ISNUMBER(I20),ISNUMBER(J20)),I20*$C$5*8/(J20*$F$5*$I$5),"")</x:f>
      </x:c>
      <x:c r="L20" s="208" t="str">
        <x:v>未拆分</x:v>
      </x:c>
      <x:c r="M20" s="208"/>
      <x:c r="N20" s="208"/>
      <x:c r="O20" s="208"/>
      <x:c r="P20" s="222" t="str">
        <x:v>未测量</x:v>
      </x:c>
    </x:row>
    <x:row r="21" ht="48.75" customHeight="1">
      <x:c r="A21" s="206" t="str">
        <x:v>L12</x:v>
      </x:c>
      <x:c r="B21" s="208"/>
      <x:c r="C21" s="208"/>
      <x:c r="D21" s="208"/>
      <x:c r="E21" s="219"/>
      <x:c r="F21" s="219"/>
      <x:c r="G21" s="220"/>
      <x:c r="H21" s="220"/>
      <x:c r="I21" s="221" t="str">
        <x:f>IF(AND(ISNUMBER(G21),ISNUMBER(H21)),IF(AND(G21&gt;=0,H21&gt;=0),SUM(G21:H21)/$C$5,"请核对输入"),"")</x:f>
      </x:c>
      <x:c r="J21" s="221" t="str">
        <x:f>IF(AND(ISNUMBER(E21),ISNUMBER(F21)),IF(F21&gt;E21,(F21-E21)*24,"请核对时间"),"")</x:f>
      </x:c>
      <x:c r="K21" s="221" t="str">
        <x:f>IF(AND(ISNUMBER(I21),ISNUMBER(J21)),I21*$C$5*8/(J21*$F$5*$I$5),"")</x:f>
      </x:c>
      <x:c r="L21" s="208" t="str">
        <x:v>未拆分</x:v>
      </x:c>
      <x:c r="M21" s="208"/>
      <x:c r="N21" s="208"/>
      <x:c r="O21" s="208"/>
      <x:c r="P21" s="222" t="str">
        <x:v>未测量</x:v>
      </x:c>
    </x:row>
    <x:row r="22" ht="21" customHeight="1">
      <x:c r="A22" s="182"/>
      <x:c r="B22" s="183"/>
      <x:c r="C22" s="183"/>
      <x:c r="D22" s="183"/>
      <x:c r="E22" s="183"/>
      <x:c r="F22" s="183"/>
      <x:c r="G22" s="183"/>
      <x:c r="H22" s="183"/>
      <x:c r="I22" s="183"/>
      <x:c r="J22" s="183"/>
      <x:c r="K22" s="183"/>
      <x:c r="L22" s="183"/>
      <x:c r="M22" s="183"/>
      <x:c r="N22" s="183"/>
      <x:c r="O22" s="183"/>
      <x:c r="P22" s="184"/>
    </x:row>
    <x:row r="23" ht="21" customHeight="1">
      <x:c r="A23" s="182"/>
      <x:c r="B23" s="183"/>
      <x:c r="C23" s="183"/>
      <x:c r="D23" s="183"/>
      <x:c r="E23" s="183"/>
      <x:c r="F23" s="183"/>
      <x:c r="G23" s="183"/>
      <x:c r="H23" s="183"/>
      <x:c r="I23" s="183"/>
      <x:c r="J23" s="183"/>
      <x:c r="K23" s="183"/>
      <x:c r="L23" s="183"/>
      <x:c r="M23" s="183"/>
      <x:c r="N23" s="183"/>
      <x:c r="O23" s="183"/>
      <x:c r="P23" s="184"/>
    </x:row>
    <x:row r="24" ht="25.5" customHeight="1">
      <x:c r="A24" s="185" t="str">
        <x:v>记录与计算说明</x:v>
      </x:c>
      <x:c r="B24" s="186" t="str">
        <x:v>记录与计算说明</x:v>
      </x:c>
      <x:c r="C24" s="186" t="str">
        <x:v>记录与计算说明</x:v>
      </x:c>
      <x:c r="D24" s="186" t="str">
        <x:v>记录与计算说明</x:v>
      </x:c>
      <x:c r="E24" s="186" t="str">
        <x:v>记录与计算说明</x:v>
      </x:c>
      <x:c r="F24" s="186" t="str">
        <x:v>记录与计算说明</x:v>
      </x:c>
      <x:c r="G24" s="186" t="str">
        <x:v>记录与计算说明</x:v>
      </x:c>
      <x:c r="H24" s="186" t="str">
        <x:v>记录与计算说明</x:v>
      </x:c>
      <x:c r="I24" s="186" t="str">
        <x:v>记录与计算说明</x:v>
      </x:c>
      <x:c r="J24" s="186" t="str">
        <x:v>记录与计算说明</x:v>
      </x:c>
      <x:c r="K24" s="186" t="str">
        <x:v>记录与计算说明</x:v>
      </x:c>
      <x:c r="L24" s="186" t="str">
        <x:v>记录与计算说明</x:v>
      </x:c>
      <x:c r="M24" s="186" t="str">
        <x:v>记录与计算说明</x:v>
      </x:c>
      <x:c r="N24" s="186" t="str">
        <x:v>记录与计算说明</x:v>
      </x:c>
      <x:c r="O24" s="186" t="str">
        <x:v>记录与计算说明</x:v>
      </x:c>
      <x:c r="P24" s="187" t="str">
        <x:v>记录与计算说明</x:v>
      </x:c>
    </x:row>
    <x:row r="25" ht="68" customHeight="1">
      <x:c r="A25" s="182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B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C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D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E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F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G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H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I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J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K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L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M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N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O25" s="183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  <x:c r="P25" s="184" t="str">
        <x:v>期间量 GB =（接收 Bytes＋发送 Bytes）÷1,000,000,000；MB = 期间量 GB×1,000；小时数 =（结束－开始）×24；平均 Mbps = 合计 Bytes×8÷秒数÷1,000,000。一次采集原单位为 MB/台/次，正常运行可为 MB/台/日；先确认阶段、台数与时间口径。单方向未测值不填 0。</x:v>
      </x:c>
    </x:row>
    <x:row r="26" ht="68" customHeight="1">
      <x:c r="A26" s="191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B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C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D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E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F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G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H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I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J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K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L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M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N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O26" s="192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  <x:c r="P26" s="193" t="str">
        <x:v>ITOM 核对配置、通信归属、执行成功情况和证据后选择“已确认”。计数器法先求各方向结束－开始；重置、负差分或扣除量超限需重测。背景扣除属于估计。记录相同通信的两侧总量会重复计数，不允许直接相加。</x:v>
      </x:c>
    </x:row>
    <x:row r="27" ht="21" customHeight="1">
      <x:c r="A27" s="182"/>
      <x:c r="B27" s="183"/>
      <x:c r="C27" s="183"/>
      <x:c r="D27" s="183"/>
      <x:c r="E27" s="183"/>
      <x:c r="F27" s="183"/>
      <x:c r="G27" s="183"/>
      <x:c r="H27" s="183"/>
      <x:c r="I27" s="183"/>
      <x:c r="J27" s="183"/>
      <x:c r="K27" s="183"/>
      <x:c r="L27" s="183"/>
      <x:c r="M27" s="183"/>
      <x:c r="N27" s="183"/>
      <x:c r="O27" s="183"/>
      <x:c r="P27" s="184"/>
    </x:row>
    <x:row r="28" ht="26.25" customHeight="1">
      <x:c r="A28" s="182" t="str">
        <x:v>双方约定的允许值与停止条件（阈值、判断负责人、联系人）：</x:v>
      </x:c>
      <x:c r="B28" s="183" t="str">
        <x:v>双方约定的允许值与停止条件（阈值、判断负责人、联系人）：</x:v>
      </x:c>
      <x:c r="C28" s="183" t="str">
        <x:v>双方约定的允许值与停止条件（阈值、判断负责人、联系人）：</x:v>
      </x:c>
      <x:c r="D28" s="183" t="str">
        <x:v>双方约定的允许值与停止条件（阈值、判断负责人、联系人）：</x:v>
      </x:c>
      <x:c r="E28" s="183" t="str">
        <x:v>双方约定的允许值与停止条件（阈值、判断负责人、联系人）：</x:v>
      </x:c>
      <x:c r="F28" s="183" t="str">
        <x:v>双方约定的允许值与停止条件（阈值、判断负责人、联系人）：</x:v>
      </x:c>
      <x:c r="G28" s="183" t="str">
        <x:v>双方约定的允许值与停止条件（阈值、判断负责人、联系人）：</x:v>
      </x:c>
      <x:c r="H28" s="183" t="str">
        <x:v>双方约定的允许值与停止条件（阈值、判断负责人、联系人）：</x:v>
      </x:c>
      <x:c r="I28" s="183" t="str">
        <x:v>双方约定的允许值与停止条件（阈值、判断负责人、联系人）：</x:v>
      </x:c>
      <x:c r="J28" s="183" t="str">
        <x:v>双方约定的允许值与停止条件（阈值、判断负责人、联系人）：</x:v>
      </x:c>
      <x:c r="K28" s="183" t="str">
        <x:v>双方约定的允许值与停止条件（阈值、判断负责人、联系人）：</x:v>
      </x:c>
      <x:c r="L28" s="183" t="str">
        <x:v>双方约定的允许值与停止条件（阈值、判断负责人、联系人）：</x:v>
      </x:c>
      <x:c r="M28" s="183" t="str">
        <x:v>双方约定的允许值与停止条件（阈值、判断负责人、联系人）：</x:v>
      </x:c>
      <x:c r="N28" s="183" t="str">
        <x:v>双方约定的允许值与停止条件（阈值、判断负责人、联系人）：</x:v>
      </x:c>
      <x:c r="O28" s="183" t="str">
        <x:v>双方约定的允许值与停止条件（阈值、判断负责人、联系人）：</x:v>
      </x:c>
      <x:c r="P28" s="184" t="str">
        <x:v>双方约定的允许值与停止条件（阈值、判断负责人、联系人）：</x:v>
      </x:c>
    </x:row>
    <x:row r="29" ht="46.5" customHeight="1">
      <x:c r="A29" s="194" t="str"/>
      <x:c r="B29" s="195" t="str"/>
      <x:c r="C29" s="195" t="str"/>
      <x:c r="D29" s="195" t="str"/>
      <x:c r="E29" s="195" t="str"/>
      <x:c r="F29" s="195" t="str"/>
      <x:c r="G29" s="195" t="str"/>
      <x:c r="H29" s="195" t="str"/>
      <x:c r="I29" s="195" t="str"/>
      <x:c r="J29" s="195" t="str"/>
      <x:c r="K29" s="195" t="str"/>
      <x:c r="L29" s="195" t="str"/>
      <x:c r="M29" s="195" t="str"/>
      <x:c r="N29" s="195" t="str"/>
      <x:c r="O29" s="195" t="str"/>
      <x:c r="P29" s="196" t="str"/>
    </x:row>
    <x:row r="30" ht="21" customHeight="1">
      <x:c r="A30" s="182"/>
      <x:c r="B30" s="183"/>
      <x:c r="C30" s="183"/>
      <x:c r="D30" s="183"/>
      <x:c r="E30" s="183"/>
      <x:c r="F30" s="183"/>
      <x:c r="G30" s="183"/>
      <x:c r="H30" s="183"/>
      <x:c r="I30" s="183"/>
      <x:c r="J30" s="183"/>
      <x:c r="K30" s="183"/>
      <x:c r="L30" s="183"/>
      <x:c r="M30" s="183"/>
      <x:c r="N30" s="183"/>
      <x:c r="O30" s="183"/>
      <x:c r="P30" s="184"/>
    </x:row>
    <x:row r="31" ht="26.25" customHeight="1">
      <x:c r="A31" s="182" t="str">
        <x:v>环境与测量条件的批准人、批准日期及相关申请：</x:v>
      </x:c>
      <x:c r="B31" s="183" t="str">
        <x:v>环境与测量条件的批准人、批准日期及相关申请：</x:v>
      </x:c>
      <x:c r="C31" s="183" t="str">
        <x:v>环境与测量条件的批准人、批准日期及相关申请：</x:v>
      </x:c>
      <x:c r="D31" s="183" t="str">
        <x:v>环境与测量条件的批准人、批准日期及相关申请：</x:v>
      </x:c>
      <x:c r="E31" s="183" t="str">
        <x:v>环境与测量条件的批准人、批准日期及相关申请：</x:v>
      </x:c>
      <x:c r="F31" s="183" t="str">
        <x:v>环境与测量条件的批准人、批准日期及相关申请：</x:v>
      </x:c>
      <x:c r="G31" s="183" t="str">
        <x:v>环境与测量条件的批准人、批准日期及相关申请：</x:v>
      </x:c>
      <x:c r="H31" s="183" t="str">
        <x:v>环境与测量条件的批准人、批准日期及相关申请：</x:v>
      </x:c>
      <x:c r="I31" s="183" t="str">
        <x:v>环境与测量条件的批准人、批准日期及相关申请：</x:v>
      </x:c>
      <x:c r="J31" s="183" t="str">
        <x:v>环境与测量条件的批准人、批准日期及相关申请：</x:v>
      </x:c>
      <x:c r="K31" s="183" t="str">
        <x:v>环境与测量条件的批准人、批准日期及相关申请：</x:v>
      </x:c>
      <x:c r="L31" s="183" t="str">
        <x:v>环境与测量条件的批准人、批准日期及相关申请：</x:v>
      </x:c>
      <x:c r="M31" s="183" t="str">
        <x:v>环境与测量条件的批准人、批准日期及相关申请：</x:v>
      </x:c>
      <x:c r="N31" s="183" t="str">
        <x:v>环境与测量条件的批准人、批准日期及相关申请：</x:v>
      </x:c>
      <x:c r="O31" s="183" t="str">
        <x:v>环境与测量条件的批准人、批准日期及相关申请：</x:v>
      </x:c>
      <x:c r="P31" s="184" t="str">
        <x:v>环境与测量条件的批准人、批准日期及相关申请：</x:v>
      </x:c>
    </x:row>
    <x:row r="32" ht="46.5" customHeight="1">
      <x:c r="A32" s="194" t="str"/>
      <x:c r="B32" s="195" t="str"/>
      <x:c r="C32" s="195" t="str"/>
      <x:c r="D32" s="195" t="str"/>
      <x:c r="E32" s="195" t="str"/>
      <x:c r="F32" s="195" t="str"/>
      <x:c r="G32" s="195" t="str"/>
      <x:c r="H32" s="195" t="str"/>
      <x:c r="I32" s="195" t="str"/>
      <x:c r="J32" s="195" t="str"/>
      <x:c r="K32" s="195" t="str"/>
      <x:c r="L32" s="195" t="str"/>
      <x:c r="M32" s="195" t="str"/>
      <x:c r="N32" s="195" t="str"/>
      <x:c r="O32" s="195" t="str"/>
      <x:c r="P32" s="196" t="str"/>
    </x:row>
    <x:row r="33" ht="21" customHeight="1">
      <x:c r="A33" s="182"/>
      <x:c r="B33" s="183"/>
      <x:c r="C33" s="183"/>
      <x:c r="D33" s="183"/>
      <x:c r="E33" s="183"/>
      <x:c r="F33" s="183"/>
      <x:c r="G33" s="183"/>
      <x:c r="H33" s="183"/>
      <x:c r="I33" s="183"/>
      <x:c r="J33" s="183"/>
      <x:c r="K33" s="183"/>
      <x:c r="L33" s="183"/>
      <x:c r="M33" s="183"/>
      <x:c r="N33" s="183"/>
      <x:c r="O33" s="183"/>
      <x:c r="P33" s="184"/>
    </x:row>
    <x:row r="34" ht="21" customHeight="1">
      <x:c r="A34" s="182"/>
      <x:c r="B34" s="183"/>
      <x:c r="C34" s="183"/>
      <x:c r="D34" s="183"/>
      <x:c r="E34" s="183"/>
      <x:c r="F34" s="183"/>
      <x:c r="G34" s="183"/>
      <x:c r="H34" s="183"/>
      <x:c r="I34" s="183"/>
      <x:c r="J34" s="183"/>
      <x:c r="K34" s="183"/>
      <x:c r="L34" s="183"/>
      <x:c r="M34" s="183"/>
      <x:c r="N34" s="183"/>
      <x:c r="O34" s="183"/>
      <x:c r="P34" s="184"/>
    </x:row>
    <x:row r="35" ht="26" customHeight="1">
      <x:c r="A35" s="226" t="str">
        <x:v>原单位与计划规模参考（由 ITOM 在实测采纳后填写，路径分别换算）</x:v>
      </x:c>
      <x:c r="B35" s="227" t="str">
        <x:v>原单位与计划规模参考（由 ITOM 在实测采纳后填写，路径分别换算）</x:v>
      </x:c>
      <x:c r="C35" s="227" t="str">
        <x:v>原单位与计划规模参考（由 ITOM 在实测采纳后填写，路径分别换算）</x:v>
      </x:c>
      <x:c r="D35" s="227" t="str">
        <x:v>原单位与计划规模参考（由 ITOM 在实测采纳后填写，路径分别换算）</x:v>
      </x:c>
      <x:c r="E35" s="227" t="str">
        <x:v>原单位与计划规模参考（由 ITOM 在实测采纳后填写，路径分别换算）</x:v>
      </x:c>
      <x:c r="F35" s="227" t="str">
        <x:v>原单位与计划规模参考（由 ITOM 在实测采纳后填写，路径分别换算）</x:v>
      </x:c>
      <x:c r="G35" s="227" t="str">
        <x:v>原单位与计划规模参考（由 ITOM 在实测采纳后填写，路径分别换算）</x:v>
      </x:c>
      <x:c r="H35" s="227" t="str">
        <x:v>原单位与计划规模参考（由 ITOM 在实测采纳后填写，路径分别换算）</x:v>
      </x:c>
      <x:c r="I35" s="227" t="str">
        <x:v>原单位与计划规模参考（由 ITOM 在实测采纳后填写，路径分别换算）</x:v>
      </x:c>
      <x:c r="J35" s="227" t="str">
        <x:v>原单位与计划规模参考（由 ITOM 在实测采纳后填写，路径分别换算）</x:v>
      </x:c>
      <x:c r="K35" s="227" t="str">
        <x:v>原单位与计划规模参考（由 ITOM 在实测采纳后填写，路径分别换算）</x:v>
      </x:c>
      <x:c r="L35" s="227" t="str">
        <x:v>原单位与计划规模参考（由 ITOM 在实测采纳后填写，路径分别换算）</x:v>
      </x:c>
      <x:c r="M35" s="227" t="str">
        <x:v>原单位与计划规模参考（由 ITOM 在实测采纳后填写，路径分别换算）</x:v>
      </x:c>
      <x:c r="N35" s="227" t="str">
        <x:v>原单位与计划规模参考（由 ITOM 在实测采纳后填写，路径分别换算）</x:v>
      </x:c>
      <x:c r="O35" s="227" t="str">
        <x:v>原单位与计划规模参考（由 ITOM 在实测采纳后填写，路径分别换算）</x:v>
      </x:c>
      <x:c r="P35" s="228" t="str">
        <x:v>原单位与计划规模参考（由 ITOM 在实测采纳后填写，路径分别换算）</x:v>
      </x:c>
    </x:row>
    <x:row r="36" ht="48" customHeight="1">
      <x:c r="A36" s="238" t="str">
        <x:v>ID</x:v>
      </x:c>
      <x:c r="B36" s="239" t="str">
        <x:v>项目 / 通信 ID</x:v>
      </x:c>
      <x:c r="C36" s="239" t="str">
        <x:v>项目 / 通信 ID</x:v>
      </x:c>
      <x:c r="D36" s="239" t="str">
        <x:v>项目 / 通信 ID</x:v>
      </x:c>
      <x:c r="E36" s="239" t="str">
        <x:v>采纳记录 ID</x:v>
      </x:c>
      <x:c r="F36" s="239" t="str">
        <x:v>采纳记录 ID</x:v>
      </x:c>
      <x:c r="G36" s="239" t="str">
        <x:v>原单位（MB）</x:v>
      </x:c>
      <x:c r="H36" s="239" t="str">
        <x:v>原单位（MB）</x:v>
      </x:c>
      <x:c r="I36" s="239" t="str">
        <x:v>单位口径</x:v>
      </x:c>
      <x:c r="J36" s="239" t="str">
        <x:v>单位口径</x:v>
      </x:c>
      <x:c r="K36" s="239" t="str">
        <x:v>计划单位数</x:v>
      </x:c>
      <x:c r="L36" s="239" t="str">
        <x:v>执行次数
按日填 1</x:v>
      </x:c>
      <x:c r="M36" s="239" t="str">
        <x:v>参考量
MB 或 MB/日</x:v>
      </x:c>
      <x:c r="N36" s="239" t="str">
        <x:v>参考量
MB 或 MB/日</x:v>
      </x:c>
      <x:c r="O36" s="239" t="str">
        <x:v>适用条件</x:v>
      </x:c>
      <x:c r="P36" s="240" t="str">
        <x:v>适用条件</x:v>
      </x:c>
    </x:row>
    <x:row r="37" ht="65" customHeight="1">
      <x:c r="A37" s="232" t="str">
        <x:v>U01</x:v>
      </x:c>
      <x:c r="B37" s="233" t="str">
        <x:v>C13 | ACC 首次采集</x:v>
      </x:c>
      <x:c r="C37" s="233" t="str">
        <x:v>C13 | ACC 首次采集</x:v>
      </x:c>
      <x:c r="D37" s="233" t="str">
        <x:v>C13 | ACC 首次采集</x:v>
      </x:c>
      <x:c r="E37" s="241"/>
      <x:c r="F37" s="241"/>
      <x:c r="G37" s="244"/>
      <x:c r="H37" s="244"/>
      <x:c r="I37" s="233" t="str">
        <x:v>MB/ACC台/首次</x:v>
      </x:c>
      <x:c r="J37" s="233" t="str">
        <x:v>MB/ACC台/首次</x:v>
      </x:c>
      <x:c r="K37" s="241"/>
      <x:c r="L37" s="241"/>
      <x:c r="M37" s="245" t="str">
        <x:f>IF(OR(E37="",COUNTBLANK(G37)&gt;0,COUNTBLANK(K37)&gt;0,COUNTBLANK(L37)&gt;0),"",IF(OR(NOT(ISNUMBER(G37)),NOT(ISNUMBER(K37)),NOT(ISNUMBER(L37)),G37&lt;0,K37&lt;=0,L37&lt;=0),"请核对输入",G37*K37*L37))</x:f>
      </x:c>
      <x:c r="N37" s="245"/>
      <x:c r="O37" s="233" t="str">
        <x:v>一次性量；与正常每日量分开</x:v>
      </x:c>
      <x:c r="P37" s="234" t="str">
        <x:v>一次性量；与正常每日量分开</x:v>
      </x:c>
    </x:row>
    <x:row r="38" ht="65" customHeight="1">
      <x:c r="A38" s="232" t="str">
        <x:v>U02</x:v>
      </x:c>
      <x:c r="B38" s="233" t="str">
        <x:v>C13 | ACC 稳定运行</x:v>
      </x:c>
      <x:c r="C38" s="233" t="str">
        <x:v>C13 | ACC 稳定运行</x:v>
      </x:c>
      <x:c r="D38" s="233" t="str">
        <x:v>C13 | ACC 稳定运行</x:v>
      </x:c>
      <x:c r="E38" s="241"/>
      <x:c r="F38" s="241"/>
      <x:c r="G38" s="244"/>
      <x:c r="H38" s="244"/>
      <x:c r="I38" s="233" t="str">
        <x:v>MB/ACC台/日</x:v>
      </x:c>
      <x:c r="J38" s="233" t="str">
        <x:v>MB/ACC台/日</x:v>
      </x:c>
      <x:c r="K38" s="241"/>
      <x:c r="L38" s="241"/>
      <x:c r="M38" s="245" t="str">
        <x:f>IF(OR(E38="",COUNTBLANK(G38)&gt;0,COUNTBLANK(K38)&gt;0,COUNTBLANK(L38)&gt;0),"",IF(OR(NOT(ISNUMBER(G38)),NOT(ISNUMBER(K38)),NOT(ISNUMBER(L38)),G38&lt;0,K38&lt;=0,L38&lt;=0),"请核对输入",G38*K38*L38))</x:f>
      </x:c>
      <x:c r="N38" s="245"/>
      <x:c r="O38" s="233" t="str">
        <x:v>按完整观察期间采纳；次数/日填 1</x:v>
      </x:c>
      <x:c r="P38" s="234" t="str">
        <x:v>按完整观察期间采纳；次数/日填 1</x:v>
      </x:c>
    </x:row>
    <x:row r="39" ht="65" customHeight="1">
      <x:c r="A39" s="232" t="str">
        <x:v>U03</x:v>
      </x:c>
      <x:c r="B39" s="233" t="str">
        <x:v>C01 | MID→Instance 正常运行</x:v>
      </x:c>
      <x:c r="C39" s="233" t="str">
        <x:v>C01 | MID→Instance 正常运行</x:v>
      </x:c>
      <x:c r="D39" s="233" t="str">
        <x:v>C01 | MID→Instance 正常运行</x:v>
      </x:c>
      <x:c r="E39" s="241"/>
      <x:c r="F39" s="241"/>
      <x:c r="G39" s="244"/>
      <x:c r="H39" s="244"/>
      <x:c r="I39" s="233" t="str">
        <x:v>MB/MID台/日</x:v>
      </x:c>
      <x:c r="J39" s="233" t="str">
        <x:v>MB/MID台/日</x:v>
      </x:c>
      <x:c r="K39" s="241"/>
      <x:c r="L39" s="241"/>
      <x:c r="M39" s="245" t="str">
        <x:f>IF(OR(E39="",COUNTBLANK(G39)&gt;0,COUNTBLANK(K39)&gt;0,COUNTBLANK(L39)&gt;0),"",IF(OR(NOT(ISNUMBER(G39)),NOT(ISNUMBER(K39)),NOT(ISNUMBER(L39)),G39&lt;0,K39&lt;=0,L39&lt;=0),"请核对输入",G39*K39*L39))</x:f>
      </x:c>
      <x:c r="N39" s="245"/>
      <x:c r="O39" s="233" t="str">
        <x:v>计划单位数是 MID 数，不能填 ACC 台数</x:v>
      </x:c>
      <x:c r="P39" s="234" t="str">
        <x:v>计划单位数是 MID 数，不能填 ACC 台数</x:v>
      </x:c>
    </x:row>
    <x:row r="40" ht="65" customHeight="1">
      <x:c r="A40" s="232" t="str">
        <x:v>U04</x:v>
      </x:c>
      <x:c r="B40" s="233" t="str">
        <x:v>C02 | MID 下载/更新</x:v>
      </x:c>
      <x:c r="C40" s="233" t="str">
        <x:v>C02 | MID 下载/更新</x:v>
      </x:c>
      <x:c r="D40" s="233" t="str">
        <x:v>C02 | MID 下载/更新</x:v>
      </x:c>
      <x:c r="E40" s="241"/>
      <x:c r="F40" s="241"/>
      <x:c r="G40" s="244"/>
      <x:c r="H40" s="244"/>
      <x:c r="I40" s="233" t="str">
        <x:v>MB/MID台/次</x:v>
      </x:c>
      <x:c r="J40" s="233" t="str">
        <x:v>MB/MID台/次</x:v>
      </x:c>
      <x:c r="K40" s="241"/>
      <x:c r="L40" s="241"/>
      <x:c r="M40" s="245" t="str">
        <x:f>IF(OR(E40="",COUNTBLANK(G40)&gt;0,COUNTBLANK(K40)&gt;0,COUNTBLANK(L40)&gt;0),"",IF(OR(NOT(ISNUMBER(G40)),NOT(ISNUMBER(K40)),NOT(ISNUMBER(L40)),G40&lt;0,K40&lt;=0,L40&lt;=0),"请核对输入",G40*K40*L40))</x:f>
      </x:c>
      <x:c r="N40" s="245"/>
      <x:c r="O40" s="233" t="str">
        <x:v>一次事件的参考量；不当作正常每日量</x:v>
      </x:c>
      <x:c r="P40" s="234" t="str">
        <x:v>一次事件的参考量；不当作正常每日量</x:v>
      </x:c>
    </x:row>
    <x:row r="41" ht="65" customHeight="1">
      <x:c r="A41" s="232" t="str">
        <x:v>U05</x:v>
      </x:c>
      <x:c r="B41" s="233" t="str">
        <x:v>C20 | ACC 安装/更新</x:v>
      </x:c>
      <x:c r="C41" s="233" t="str">
        <x:v>C20 | ACC 安装/更新</x:v>
      </x:c>
      <x:c r="D41" s="233" t="str">
        <x:v>C20 | ACC 安装/更新</x:v>
      </x:c>
      <x:c r="E41" s="241"/>
      <x:c r="F41" s="241"/>
      <x:c r="G41" s="244"/>
      <x:c r="H41" s="244"/>
      <x:c r="I41" s="233" t="str">
        <x:v>MB/ACC台/次</x:v>
      </x:c>
      <x:c r="J41" s="233" t="str">
        <x:v>MB/ACC台/次</x:v>
      </x:c>
      <x:c r="K41" s="241"/>
      <x:c r="L41" s="241"/>
      <x:c r="M41" s="245" t="str">
        <x:f>IF(OR(E41="",COUNTBLANK(G41)&gt;0,COUNTBLANK(K41)&gt;0,COUNTBLANK(L41)&gt;0),"",IF(OR(NOT(ISNUMBER(G41)),NOT(ISNUMBER(K41)),NOT(ISNUMBER(L41)),G41&lt;0,K41&lt;=0,L41&lt;=0),"请核对输入",G41*K41*L41))</x:f>
      </x:c>
      <x:c r="N41" s="245"/>
      <x:c r="O41" s="233" t="str">
        <x:v>配布/缓存方式会影响按台换算</x:v>
      </x:c>
      <x:c r="P41" s="234" t="str">
        <x:v>配布/缓存方式会影响按台换算</x:v>
      </x:c>
    </x:row>
    <x:row r="42" ht="21" customHeight="1">
      <x:c r="A42" s="182"/>
      <x:c r="B42" s="183"/>
      <x:c r="C42" s="183"/>
      <x:c r="D42" s="183"/>
      <x:c r="E42" s="183"/>
      <x:c r="F42" s="183"/>
      <x:c r="G42" s="183"/>
      <x:c r="H42" s="183"/>
      <x:c r="I42" s="183"/>
      <x:c r="J42" s="183"/>
      <x:c r="K42" s="183"/>
      <x:c r="L42" s="183"/>
      <x:c r="M42" s="183"/>
      <x:c r="N42" s="183"/>
      <x:c r="O42" s="183"/>
      <x:c r="P42" s="184"/>
    </x:row>
    <x:row r="43" ht="60" customHeight="1">
      <x:c r="A43" s="179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B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C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D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E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F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G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H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I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J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K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L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M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N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O43" s="180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  <x:c r="P43" s="181" t="str">
        <x:v>采纳原单位必须有已核对的实测记录 ID、期间/台数与同条件证据。参考量 = 原单位×计划单位数×次数；按日原单位次数填 1，一次性事件填写该事件次数。各通信 ID 涉及不同路径/阶段，不设置跨路径总计；相关回线仅汇总实际经过且已去重的通信。单台 PoC 线性放大只能作为参考，不保证生产带宽。</x:v>
      </x:c>
    </x:row>
    <x:row r="44" ht="21" customHeight="1">
      <x:c r="A44" s="182"/>
      <x:c r="B44" s="183"/>
      <x:c r="C44" s="183"/>
      <x:c r="D44" s="183"/>
      <x:c r="E44" s="183"/>
      <x:c r="F44" s="183"/>
      <x:c r="G44" s="183"/>
      <x:c r="H44" s="183"/>
      <x:c r="I44" s="183"/>
      <x:c r="J44" s="183"/>
      <x:c r="K44" s="183"/>
      <x:c r="L44" s="183"/>
      <x:c r="M44" s="183"/>
      <x:c r="N44" s="183"/>
      <x:c r="O44" s="183"/>
      <x:c r="P44" s="184"/>
    </x:row>
    <x:row r="45" ht="21" customHeight="1">
      <x:c r="A45" s="182"/>
      <x:c r="B45" s="183"/>
      <x:c r="C45" s="183"/>
      <x:c r="D45" s="183"/>
      <x:c r="E45" s="183"/>
      <x:c r="F45" s="183"/>
      <x:c r="G45" s="183"/>
      <x:c r="H45" s="183"/>
      <x:c r="I45" s="183"/>
      <x:c r="J45" s="183"/>
      <x:c r="K45" s="183"/>
      <x:c r="L45" s="183"/>
      <x:c r="M45" s="183"/>
      <x:c r="N45" s="183"/>
      <x:c r="O45" s="183"/>
      <x:c r="P45" s="184"/>
    </x:row>
    <x:row r="46" ht="21" customHeight="1">
      <x:c r="A46" s="182"/>
      <x:c r="B46" s="183"/>
      <x:c r="C46" s="183"/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  <x:c r="O46" s="183"/>
      <x:c r="P46" s="184"/>
    </x:row>
    <x:row r="47" ht="21" customHeight="1">
      <x:c r="A47" s="182"/>
      <x:c r="B47" s="183"/>
      <x:c r="C47" s="183"/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  <x:c r="O47" s="183"/>
      <x:c r="P47" s="184"/>
    </x:row>
    <x:row r="48" ht="21" customHeight="1">
      <x:c r="A48" s="182"/>
      <x:c r="B48" s="183"/>
      <x:c r="C48" s="183"/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  <x:c r="O48" s="183"/>
      <x:c r="P48" s="184"/>
    </x:row>
    <x:row r="49" ht="21" customHeight="1">
      <x:c r="A49" s="182"/>
      <x:c r="B49" s="183"/>
      <x:c r="C49" s="183"/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  <x:c r="O49" s="183"/>
      <x:c r="P49" s="184"/>
    </x:row>
    <x:row r="50" ht="21" customHeight="1">
      <x:c r="A50" s="182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  <x:c r="O50" s="183"/>
      <x:c r="P50" s="184"/>
    </x:row>
    <x:row r="51" ht="21" customHeight="1">
      <x:c r="A51" s="182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  <x:c r="O51" s="183"/>
      <x:c r="P51" s="184"/>
    </x:row>
    <x:row r="52" ht="21" customHeight="1">
      <x:c r="A52" s="182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  <x:c r="O52" s="183"/>
      <x:c r="P52" s="184"/>
    </x:row>
    <x:row r="53" ht="21" customHeight="1">
      <x:c r="A53" s="182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  <x:c r="O53" s="183"/>
      <x:c r="P53" s="184"/>
    </x:row>
    <x:row r="54" ht="21" customHeight="1">
      <x:c r="A54" s="182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  <x:c r="O54" s="183"/>
      <x:c r="P54" s="184"/>
    </x:row>
    <x:row r="55" ht="21" customHeight="1">
      <x:c r="A55" s="182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  <x:c r="O55" s="183"/>
      <x:c r="P55" s="184"/>
    </x:row>
    <x:row r="56" ht="21" customHeight="1">
      <x:c r="A56" s="182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  <x:c r="O56" s="183"/>
      <x:c r="P56" s="184"/>
    </x:row>
    <x:row r="57" ht="21" customHeight="1">
      <x:c r="A57" s="182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  <x:c r="O57" s="183"/>
      <x:c r="P57" s="184"/>
    </x:row>
    <x:row r="58" ht="21" customHeight="1">
      <x:c r="A58" s="182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  <x:c r="O58" s="183"/>
      <x:c r="P58" s="184"/>
    </x:row>
    <x:row r="59" ht="21" customHeight="1">
      <x:c r="A59" s="182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  <x:c r="O59" s="183"/>
      <x:c r="P59" s="184"/>
    </x:row>
    <x:row r="60" ht="21" customHeight="1">
      <x:c r="A60" s="199"/>
      <x:c r="B60" s="200"/>
      <x:c r="C60" s="200"/>
      <x:c r="D60" s="200"/>
      <x:c r="E60" s="200"/>
      <x:c r="F60" s="200"/>
      <x:c r="G60" s="200"/>
      <x:c r="H60" s="200"/>
      <x:c r="I60" s="200"/>
      <x:c r="J60" s="200"/>
      <x:c r="K60" s="200"/>
      <x:c r="L60" s="200"/>
      <x:c r="M60" s="200"/>
      <x:c r="N60" s="200"/>
      <x:c r="O60" s="200"/>
      <x:c r="P60" s="201"/>
    </x:row>
    <x:row r="61">
      <x:c r="A61" s="210"/>
      <x:c r="B61" s="210"/>
      <x:c r="C61" s="210"/>
      <x:c r="D61" s="210"/>
      <x:c r="E61" s="210"/>
      <x:c r="F61" s="210"/>
      <x:c r="G61" s="210"/>
      <x:c r="H61" s="210"/>
      <x:c r="I61" s="210"/>
      <x:c r="J61" s="210"/>
      <x:c r="K61" s="210"/>
      <x:c r="L61" s="210"/>
      <x:c r="M61" s="210"/>
      <x:c r="N61" s="210"/>
      <x:c r="O61" s="210"/>
      <x:c r="P61" s="210"/>
    </x:row>
    <x:row r="62">
      <x:c r="A62" s="210"/>
      <x:c r="B62" s="210"/>
      <x:c r="C62" s="210"/>
      <x:c r="D62" s="210"/>
      <x:c r="E62" s="210"/>
      <x:c r="F62" s="210"/>
      <x:c r="G62" s="210"/>
      <x:c r="H62" s="210"/>
      <x:c r="I62" s="210"/>
      <x:c r="J62" s="210"/>
      <x:c r="K62" s="210"/>
      <x:c r="L62" s="210"/>
      <x:c r="M62" s="210"/>
      <x:c r="N62" s="210"/>
      <x:c r="O62" s="210"/>
      <x:c r="P62" s="210"/>
    </x:row>
    <x:row r="63">
      <x:c r="A63" s="210"/>
      <x:c r="B63" s="210"/>
      <x:c r="C63" s="210"/>
      <x:c r="D63" s="210"/>
      <x:c r="E63" s="210"/>
      <x:c r="F63" s="210"/>
      <x:c r="G63" s="210"/>
      <x:c r="H63" s="210"/>
      <x:c r="I63" s="210"/>
      <x:c r="J63" s="210"/>
      <x:c r="K63" s="210"/>
      <x:c r="L63" s="210"/>
      <x:c r="M63" s="210"/>
      <x:c r="N63" s="210"/>
      <x:c r="O63" s="210"/>
      <x:c r="P63" s="210"/>
    </x:row>
    <x:row r="64">
      <x:c r="A64" s="210"/>
      <x:c r="B64" s="210"/>
      <x:c r="C64" s="210"/>
      <x:c r="D64" s="210"/>
      <x:c r="E64" s="210"/>
      <x:c r="F64" s="210"/>
      <x:c r="G64" s="210"/>
      <x:c r="H64" s="210"/>
      <x:c r="I64" s="210"/>
      <x:c r="J64" s="210"/>
      <x:c r="K64" s="210"/>
      <x:c r="L64" s="210"/>
      <x:c r="M64" s="210"/>
      <x:c r="N64" s="210"/>
      <x:c r="O64" s="210"/>
      <x:c r="P64" s="210"/>
    </x:row>
    <x:row r="65">
      <x:c r="A65" s="210"/>
      <x:c r="B65" s="210"/>
      <x:c r="C65" s="210"/>
      <x:c r="D65" s="210"/>
      <x:c r="E65" s="210"/>
      <x:c r="F65" s="210"/>
      <x:c r="G65" s="210"/>
      <x:c r="H65" s="210"/>
      <x:c r="I65" s="210"/>
      <x:c r="J65" s="210"/>
      <x:c r="K65" s="210"/>
      <x:c r="L65" s="210"/>
      <x:c r="M65" s="210"/>
      <x:c r="N65" s="210"/>
      <x:c r="O65" s="210"/>
      <x:c r="P65" s="210"/>
    </x:row>
    <x:row r="66">
      <x:c r="A66" s="210"/>
      <x:c r="B66" s="210"/>
      <x:c r="C66" s="210"/>
      <x:c r="D66" s="210"/>
      <x:c r="E66" s="210"/>
      <x:c r="F66" s="210"/>
      <x:c r="G66" s="210"/>
      <x:c r="H66" s="210"/>
      <x:c r="I66" s="210"/>
      <x:c r="J66" s="210"/>
      <x:c r="K66" s="210"/>
      <x:c r="L66" s="210"/>
      <x:c r="M66" s="210"/>
      <x:c r="N66" s="210"/>
      <x:c r="O66" s="210"/>
      <x:c r="P66" s="210"/>
    </x:row>
    <x:row r="67">
      <x:c r="A67" s="210"/>
      <x:c r="B67" s="210"/>
      <x:c r="C67" s="210"/>
      <x:c r="D67" s="210"/>
      <x:c r="E67" s="210"/>
      <x:c r="F67" s="210"/>
      <x:c r="G67" s="210"/>
      <x:c r="H67" s="210"/>
      <x:c r="I67" s="210"/>
      <x:c r="J67" s="210"/>
      <x:c r="K67" s="210"/>
      <x:c r="L67" s="210"/>
      <x:c r="M67" s="210"/>
      <x:c r="N67" s="210"/>
      <x:c r="O67" s="210"/>
      <x:c r="P67" s="210"/>
    </x:row>
    <x:row r="68">
      <x:c r="A68" s="210"/>
      <x:c r="B68" s="210"/>
      <x:c r="C68" s="210"/>
      <x:c r="D68" s="210"/>
      <x:c r="E68" s="210"/>
      <x:c r="F68" s="210"/>
      <x:c r="G68" s="210"/>
      <x:c r="H68" s="210"/>
      <x:c r="I68" s="210"/>
      <x:c r="J68" s="210"/>
      <x:c r="K68" s="210"/>
      <x:c r="L68" s="210"/>
      <x:c r="M68" s="210"/>
      <x:c r="N68" s="210"/>
      <x:c r="O68" s="210"/>
      <x:c r="P68" s="210"/>
    </x:row>
    <x:row r="69">
      <x:c r="A69" s="210"/>
      <x:c r="B69" s="210"/>
      <x:c r="C69" s="210"/>
      <x:c r="D69" s="210"/>
      <x:c r="E69" s="210"/>
      <x:c r="F69" s="210"/>
      <x:c r="G69" s="210"/>
      <x:c r="H69" s="210"/>
      <x:c r="I69" s="210"/>
      <x:c r="J69" s="210"/>
      <x:c r="K69" s="210"/>
      <x:c r="L69" s="210"/>
      <x:c r="M69" s="210"/>
      <x:c r="N69" s="210"/>
      <x:c r="O69" s="210"/>
      <x:c r="P69" s="210"/>
    </x:row>
    <x:row r="70">
      <x:c r="A70" s="210"/>
      <x:c r="B70" s="210"/>
      <x:c r="C70" s="210"/>
      <x:c r="D70" s="210"/>
      <x:c r="E70" s="210"/>
      <x:c r="F70" s="210"/>
      <x:c r="G70" s="210"/>
      <x:c r="H70" s="210"/>
      <x:c r="I70" s="210"/>
      <x:c r="J70" s="210"/>
      <x:c r="K70" s="210"/>
      <x:c r="L70" s="210"/>
      <x:c r="M70" s="210"/>
      <x:c r="N70" s="210"/>
      <x:c r="O70" s="210"/>
      <x:c r="P70" s="210"/>
    </x:row>
    <x:row r="71">
      <x:c r="A71" s="210"/>
      <x:c r="B71" s="210"/>
      <x:c r="C71" s="210"/>
      <x:c r="D71" s="210"/>
      <x:c r="E71" s="210"/>
      <x:c r="F71" s="210"/>
      <x:c r="G71" s="210"/>
      <x:c r="H71" s="210"/>
      <x:c r="I71" s="210"/>
      <x:c r="J71" s="210"/>
      <x:c r="K71" s="210"/>
      <x:c r="L71" s="210"/>
      <x:c r="M71" s="210"/>
      <x:c r="N71" s="210"/>
      <x:c r="O71" s="210"/>
      <x:c r="P71" s="210"/>
    </x:row>
    <x:row r="72">
      <x:c r="A72" s="210"/>
      <x:c r="B72" s="210"/>
      <x:c r="C72" s="210"/>
      <x:c r="D72" s="210"/>
      <x:c r="E72" s="210"/>
      <x:c r="F72" s="210"/>
      <x:c r="G72" s="210"/>
      <x:c r="H72" s="210"/>
      <x:c r="I72" s="210"/>
      <x:c r="J72" s="210"/>
      <x:c r="K72" s="210"/>
      <x:c r="L72" s="210"/>
      <x:c r="M72" s="210"/>
      <x:c r="N72" s="210"/>
      <x:c r="O72" s="210"/>
      <x:c r="P72" s="210"/>
    </x:row>
    <x:row r="73">
      <x:c r="A73" s="210"/>
      <x:c r="B73" s="210"/>
      <x:c r="C73" s="210"/>
      <x:c r="D73" s="210"/>
      <x:c r="E73" s="210"/>
      <x:c r="F73" s="210"/>
      <x:c r="G73" s="210"/>
      <x:c r="H73" s="210"/>
      <x:c r="I73" s="210"/>
      <x:c r="J73" s="210"/>
      <x:c r="K73" s="210"/>
      <x:c r="L73" s="210"/>
      <x:c r="M73" s="210"/>
      <x:c r="N73" s="210"/>
      <x:c r="O73" s="210"/>
      <x:c r="P73" s="210"/>
    </x:row>
    <x:row r="74">
      <x:c r="A74" s="210"/>
      <x:c r="B74" s="210"/>
      <x:c r="C74" s="210"/>
      <x:c r="D74" s="210"/>
      <x:c r="E74" s="210"/>
      <x:c r="F74" s="210"/>
      <x:c r="G74" s="210"/>
      <x:c r="H74" s="210"/>
      <x:c r="I74" s="210"/>
      <x:c r="J74" s="210"/>
      <x:c r="K74" s="210"/>
      <x:c r="L74" s="210"/>
      <x:c r="M74" s="210"/>
      <x:c r="N74" s="210"/>
      <x:c r="O74" s="210"/>
      <x:c r="P74" s="210"/>
    </x:row>
    <x:row r="75">
      <x:c r="A75" s="210"/>
      <x:c r="B75" s="210"/>
      <x:c r="C75" s="210"/>
      <x:c r="D75" s="210"/>
      <x:c r="E75" s="210"/>
      <x:c r="F75" s="210"/>
      <x:c r="G75" s="210"/>
      <x:c r="H75" s="210"/>
      <x:c r="I75" s="210"/>
      <x:c r="J75" s="210"/>
      <x:c r="K75" s="210"/>
      <x:c r="L75" s="210"/>
      <x:c r="M75" s="210"/>
      <x:c r="N75" s="210"/>
      <x:c r="O75" s="210"/>
      <x:c r="P75" s="210"/>
    </x:row>
    <x:row r="76">
      <x:c r="A76" s="210"/>
      <x:c r="B76" s="210"/>
      <x:c r="C76" s="210"/>
      <x:c r="D76" s="210"/>
      <x:c r="E76" s="210"/>
      <x:c r="F76" s="210"/>
      <x:c r="G76" s="210"/>
      <x:c r="H76" s="210"/>
      <x:c r="I76" s="210"/>
      <x:c r="J76" s="210"/>
      <x:c r="K76" s="210"/>
      <x:c r="L76" s="210"/>
      <x:c r="M76" s="210"/>
      <x:c r="N76" s="210"/>
      <x:c r="O76" s="210"/>
      <x:c r="P76" s="210"/>
    </x:row>
    <x:row r="77">
      <x:c r="A77" s="210"/>
      <x:c r="B77" s="210"/>
      <x:c r="C77" s="210"/>
      <x:c r="D77" s="210"/>
      <x:c r="E77" s="210"/>
      <x:c r="F77" s="210"/>
      <x:c r="G77" s="210"/>
      <x:c r="H77" s="210"/>
      <x:c r="I77" s="210"/>
      <x:c r="J77" s="210"/>
      <x:c r="K77" s="210"/>
      <x:c r="L77" s="210"/>
      <x:c r="M77" s="210"/>
      <x:c r="N77" s="210"/>
      <x:c r="O77" s="210"/>
      <x:c r="P77" s="210"/>
    </x:row>
    <x:row r="78">
      <x:c r="A78" s="210"/>
      <x:c r="B78" s="210"/>
      <x:c r="C78" s="210"/>
      <x:c r="D78" s="210"/>
      <x:c r="E78" s="210"/>
      <x:c r="F78" s="210"/>
      <x:c r="G78" s="210"/>
      <x:c r="H78" s="210"/>
      <x:c r="I78" s="210"/>
      <x:c r="J78" s="210"/>
      <x:c r="K78" s="210"/>
      <x:c r="L78" s="210"/>
      <x:c r="M78" s="210"/>
      <x:c r="N78" s="210"/>
      <x:c r="O78" s="210"/>
      <x:c r="P78" s="210"/>
    </x:row>
    <x:row r="79">
      <x:c r="A79" s="210"/>
      <x:c r="B79" s="210"/>
      <x:c r="C79" s="210"/>
      <x:c r="D79" s="210"/>
      <x:c r="E79" s="210"/>
      <x:c r="F79" s="210"/>
      <x:c r="G79" s="210"/>
      <x:c r="H79" s="210"/>
      <x:c r="I79" s="210"/>
      <x:c r="J79" s="210"/>
      <x:c r="K79" s="210"/>
      <x:c r="L79" s="210"/>
      <x:c r="M79" s="210"/>
      <x:c r="N79" s="210"/>
      <x:c r="O79" s="210"/>
      <x:c r="P79" s="210"/>
    </x:row>
    <x:row r="80">
      <x:c r="A80" s="210"/>
      <x:c r="B80" s="210"/>
      <x:c r="C80" s="210"/>
      <x:c r="D80" s="210"/>
      <x:c r="E80" s="210"/>
      <x:c r="F80" s="210"/>
      <x:c r="G80" s="210"/>
      <x:c r="H80" s="210"/>
      <x:c r="I80" s="210"/>
      <x:c r="J80" s="210"/>
      <x:c r="K80" s="210"/>
      <x:c r="L80" s="210"/>
      <x:c r="M80" s="210"/>
      <x:c r="N80" s="210"/>
      <x:c r="O80" s="210"/>
      <x:c r="P80" s="210"/>
    </x:row>
    <x:row r="81">
      <x:c r="A81" s="210"/>
      <x:c r="B81" s="210"/>
      <x:c r="C81" s="210"/>
      <x:c r="D81" s="210"/>
      <x:c r="E81" s="210"/>
      <x:c r="F81" s="210"/>
      <x:c r="G81" s="210"/>
      <x:c r="H81" s="210"/>
      <x:c r="I81" s="210"/>
      <x:c r="J81" s="210"/>
      <x:c r="K81" s="210"/>
      <x:c r="L81" s="210"/>
      <x:c r="M81" s="210"/>
      <x:c r="N81" s="210"/>
      <x:c r="O81" s="210"/>
      <x:c r="P81" s="210"/>
    </x:row>
    <x:row r="82">
      <x:c r="A82" s="210"/>
      <x:c r="B82" s="210"/>
      <x:c r="C82" s="210"/>
      <x:c r="D82" s="210"/>
      <x:c r="E82" s="210"/>
      <x:c r="F82" s="210"/>
      <x:c r="G82" s="210"/>
      <x:c r="H82" s="210"/>
      <x:c r="I82" s="210"/>
      <x:c r="J82" s="210"/>
      <x:c r="K82" s="210"/>
      <x:c r="L82" s="210"/>
      <x:c r="M82" s="210"/>
      <x:c r="N82" s="210"/>
      <x:c r="O82" s="210"/>
      <x:c r="P82" s="210"/>
    </x:row>
    <x:row r="83">
      <x:c r="A83" s="210"/>
      <x:c r="B83" s="210"/>
      <x:c r="C83" s="210"/>
      <x:c r="D83" s="210"/>
      <x:c r="E83" s="210"/>
      <x:c r="F83" s="210"/>
      <x:c r="G83" s="210"/>
      <x:c r="H83" s="210"/>
      <x:c r="I83" s="210"/>
      <x:c r="J83" s="210"/>
      <x:c r="K83" s="210"/>
      <x:c r="L83" s="210"/>
      <x:c r="M83" s="210"/>
      <x:c r="N83" s="210"/>
      <x:c r="O83" s="210"/>
      <x:c r="P83" s="210"/>
    </x:row>
    <x:row r="84">
      <x:c r="A84" s="210"/>
      <x:c r="B84" s="210"/>
      <x:c r="C84" s="210"/>
      <x:c r="D84" s="210"/>
      <x:c r="E84" s="210"/>
      <x:c r="F84" s="210"/>
      <x:c r="G84" s="210"/>
      <x:c r="H84" s="210"/>
      <x:c r="I84" s="210"/>
      <x:c r="J84" s="210"/>
      <x:c r="K84" s="210"/>
      <x:c r="L84" s="210"/>
      <x:c r="M84" s="210"/>
      <x:c r="N84" s="210"/>
      <x:c r="O84" s="210"/>
      <x:c r="P84" s="210"/>
    </x:row>
    <x:row r="85">
      <x:c r="A85" s="210"/>
      <x:c r="B85" s="210"/>
      <x:c r="C85" s="210"/>
      <x:c r="D85" s="210"/>
      <x:c r="E85" s="210"/>
      <x:c r="F85" s="210"/>
      <x:c r="G85" s="210"/>
      <x:c r="H85" s="210"/>
      <x:c r="I85" s="210"/>
      <x:c r="J85" s="210"/>
      <x:c r="K85" s="210"/>
      <x:c r="L85" s="210"/>
      <x:c r="M85" s="210"/>
      <x:c r="N85" s="210"/>
      <x:c r="O85" s="210"/>
      <x:c r="P85" s="210"/>
    </x:row>
    <x:row r="86">
      <x:c r="A86" s="210"/>
      <x:c r="B86" s="210"/>
      <x:c r="C86" s="210"/>
      <x:c r="D86" s="210"/>
      <x:c r="E86" s="210"/>
      <x:c r="F86" s="210"/>
      <x:c r="G86" s="210"/>
      <x:c r="H86" s="210"/>
      <x:c r="I86" s="210"/>
      <x:c r="J86" s="210"/>
      <x:c r="K86" s="210"/>
      <x:c r="L86" s="210"/>
      <x:c r="M86" s="210"/>
      <x:c r="N86" s="210"/>
      <x:c r="O86" s="210"/>
      <x:c r="P86" s="210"/>
    </x:row>
    <x:row r="87">
      <x:c r="A87" s="210"/>
      <x:c r="B87" s="210"/>
      <x:c r="C87" s="210"/>
      <x:c r="D87" s="210"/>
      <x:c r="E87" s="210"/>
      <x:c r="F87" s="210"/>
      <x:c r="G87" s="210"/>
      <x:c r="H87" s="210"/>
      <x:c r="I87" s="210"/>
      <x:c r="J87" s="210"/>
      <x:c r="K87" s="210"/>
      <x:c r="L87" s="210"/>
      <x:c r="M87" s="210"/>
      <x:c r="N87" s="210"/>
      <x:c r="O87" s="210"/>
      <x:c r="P87" s="210"/>
    </x:row>
    <x:row r="88">
      <x:c r="A88" s="210"/>
      <x:c r="B88" s="210"/>
      <x:c r="C88" s="210"/>
      <x:c r="D88" s="210"/>
      <x:c r="E88" s="210"/>
      <x:c r="F88" s="210"/>
      <x:c r="G88" s="210"/>
      <x:c r="H88" s="210"/>
      <x:c r="I88" s="210"/>
      <x:c r="J88" s="210"/>
      <x:c r="K88" s="210"/>
      <x:c r="L88" s="210"/>
      <x:c r="M88" s="210"/>
      <x:c r="N88" s="210"/>
      <x:c r="O88" s="210"/>
      <x:c r="P88" s="210"/>
    </x:row>
    <x:row r="89">
      <x:c r="A89" s="210"/>
      <x:c r="B89" s="210"/>
      <x:c r="C89" s="210"/>
      <x:c r="D89" s="210"/>
      <x:c r="E89" s="210"/>
      <x:c r="F89" s="210"/>
      <x:c r="G89" s="210"/>
      <x:c r="H89" s="210"/>
      <x:c r="I89" s="210"/>
      <x:c r="J89" s="210"/>
      <x:c r="K89" s="210"/>
      <x:c r="L89" s="210"/>
      <x:c r="M89" s="210"/>
      <x:c r="N89" s="210"/>
      <x:c r="O89" s="210"/>
      <x:c r="P89" s="210"/>
    </x:row>
    <x:row r="90">
      <x:c r="A90" s="210"/>
      <x:c r="B90" s="210"/>
      <x:c r="C90" s="210"/>
      <x:c r="D90" s="210"/>
      <x:c r="E90" s="210"/>
      <x:c r="F90" s="210"/>
      <x:c r="G90" s="210"/>
      <x:c r="H90" s="210"/>
      <x:c r="I90" s="210"/>
      <x:c r="J90" s="210"/>
      <x:c r="K90" s="210"/>
      <x:c r="L90" s="210"/>
      <x:c r="M90" s="210"/>
      <x:c r="N90" s="210"/>
      <x:c r="O90" s="210"/>
      <x:c r="P90" s="210"/>
    </x:row>
    <x:row r="91">
      <x:c r="A91" s="210"/>
      <x:c r="B91" s="210"/>
      <x:c r="C91" s="210"/>
      <x:c r="D91" s="210"/>
      <x:c r="E91" s="210"/>
      <x:c r="F91" s="210"/>
      <x:c r="G91" s="210"/>
      <x:c r="H91" s="210"/>
      <x:c r="I91" s="210"/>
      <x:c r="J91" s="210"/>
      <x:c r="K91" s="210"/>
      <x:c r="L91" s="210"/>
      <x:c r="M91" s="210"/>
      <x:c r="N91" s="210"/>
      <x:c r="O91" s="210"/>
      <x:c r="P91" s="210"/>
    </x:row>
    <x:row r="92">
      <x:c r="A92" s="210"/>
      <x:c r="B92" s="210"/>
      <x:c r="C92" s="210"/>
      <x:c r="D92" s="210"/>
      <x:c r="E92" s="210"/>
      <x:c r="F92" s="210"/>
      <x:c r="G92" s="210"/>
      <x:c r="H92" s="210"/>
      <x:c r="I92" s="210"/>
      <x:c r="J92" s="210"/>
      <x:c r="K92" s="210"/>
      <x:c r="L92" s="210"/>
      <x:c r="M92" s="210"/>
      <x:c r="N92" s="210"/>
      <x:c r="O92" s="210"/>
      <x:c r="P92" s="210"/>
    </x:row>
    <x:row r="93">
      <x:c r="A93" s="210"/>
      <x:c r="B93" s="210"/>
      <x:c r="C93" s="210"/>
      <x:c r="D93" s="210"/>
      <x:c r="E93" s="210"/>
      <x:c r="F93" s="210"/>
      <x:c r="G93" s="210"/>
      <x:c r="H93" s="210"/>
      <x:c r="I93" s="210"/>
      <x:c r="J93" s="210"/>
      <x:c r="K93" s="210"/>
      <x:c r="L93" s="210"/>
      <x:c r="M93" s="210"/>
      <x:c r="N93" s="210"/>
      <x:c r="O93" s="210"/>
      <x:c r="P93" s="210"/>
    </x:row>
    <x:row r="94">
      <x:c r="A94" s="210"/>
      <x:c r="B94" s="210"/>
      <x:c r="C94" s="210"/>
      <x:c r="D94" s="210"/>
      <x:c r="E94" s="210"/>
      <x:c r="F94" s="210"/>
      <x:c r="G94" s="210"/>
      <x:c r="H94" s="210"/>
      <x:c r="I94" s="210"/>
      <x:c r="J94" s="210"/>
      <x:c r="K94" s="210"/>
      <x:c r="L94" s="210"/>
      <x:c r="M94" s="210"/>
      <x:c r="N94" s="210"/>
      <x:c r="O94" s="210"/>
      <x:c r="P94" s="210"/>
    </x:row>
    <x:row r="95">
      <x:c r="A95" s="210"/>
      <x:c r="B95" s="210"/>
      <x:c r="C95" s="210"/>
      <x:c r="D95" s="210"/>
      <x:c r="E95" s="210"/>
      <x:c r="F95" s="210"/>
      <x:c r="G95" s="210"/>
      <x:c r="H95" s="210"/>
      <x:c r="I95" s="210"/>
      <x:c r="J95" s="210"/>
      <x:c r="K95" s="210"/>
      <x:c r="L95" s="210"/>
      <x:c r="M95" s="210"/>
      <x:c r="N95" s="210"/>
      <x:c r="O95" s="210"/>
      <x:c r="P95" s="210"/>
    </x:row>
    <x:row r="96">
      <x:c r="A96" s="210"/>
      <x:c r="B96" s="210"/>
      <x:c r="C96" s="210"/>
      <x:c r="D96" s="210"/>
      <x:c r="E96" s="210"/>
      <x:c r="F96" s="210"/>
      <x:c r="G96" s="210"/>
      <x:c r="H96" s="210"/>
      <x:c r="I96" s="210"/>
      <x:c r="J96" s="210"/>
      <x:c r="K96" s="210"/>
      <x:c r="L96" s="210"/>
      <x:c r="M96" s="210"/>
      <x:c r="N96" s="210"/>
      <x:c r="O96" s="210"/>
      <x:c r="P96" s="210"/>
    </x:row>
    <x:row r="97">
      <x:c r="A97" s="210"/>
      <x:c r="B97" s="210"/>
      <x:c r="C97" s="210"/>
      <x:c r="D97" s="210"/>
      <x:c r="E97" s="210"/>
      <x:c r="F97" s="210"/>
      <x:c r="G97" s="210"/>
      <x:c r="H97" s="210"/>
      <x:c r="I97" s="210"/>
      <x:c r="J97" s="210"/>
      <x:c r="K97" s="210"/>
      <x:c r="L97" s="210"/>
      <x:c r="M97" s="210"/>
      <x:c r="N97" s="210"/>
      <x:c r="O97" s="210"/>
      <x:c r="P97" s="210"/>
    </x:row>
    <x:row r="98">
      <x:c r="A98" s="210"/>
      <x:c r="B98" s="210"/>
      <x:c r="C98" s="210"/>
      <x:c r="D98" s="210"/>
      <x:c r="E98" s="210"/>
      <x:c r="F98" s="210"/>
      <x:c r="G98" s="210"/>
      <x:c r="H98" s="210"/>
      <x:c r="I98" s="210"/>
      <x:c r="J98" s="210"/>
      <x:c r="K98" s="210"/>
      <x:c r="L98" s="210"/>
      <x:c r="M98" s="210"/>
      <x:c r="N98" s="210"/>
      <x:c r="O98" s="210"/>
      <x:c r="P98" s="210"/>
    </x:row>
    <x:row r="99">
      <x:c r="A99" s="210"/>
      <x:c r="B99" s="210"/>
      <x:c r="C99" s="210"/>
      <x:c r="D99" s="210"/>
      <x:c r="E99" s="210"/>
      <x:c r="F99" s="210"/>
      <x:c r="G99" s="210"/>
      <x:c r="H99" s="210"/>
      <x:c r="I99" s="210"/>
      <x:c r="J99" s="210"/>
      <x:c r="K99" s="210"/>
      <x:c r="L99" s="210"/>
      <x:c r="M99" s="210"/>
      <x:c r="N99" s="210"/>
      <x:c r="O99" s="210"/>
      <x:c r="P99" s="210"/>
    </x:row>
    <x:row r="100">
      <x:c r="A100" s="210"/>
      <x:c r="B100" s="210"/>
      <x:c r="C100" s="210"/>
      <x:c r="D100" s="210"/>
      <x:c r="E100" s="210"/>
      <x:c r="F100" s="210"/>
      <x:c r="G100" s="210"/>
      <x:c r="H100" s="210"/>
      <x:c r="I100" s="210"/>
      <x:c r="J100" s="210"/>
      <x:c r="K100" s="210"/>
      <x:c r="L100" s="210"/>
      <x:c r="M100" s="210"/>
      <x:c r="N100" s="210"/>
      <x:c r="O100" s="210"/>
      <x:c r="P100" s="210"/>
    </x:row>
  </x:sheetData>
  <x:mergeCells>
    <x:mergeCell ref="A2:P2"/>
    <x:mergeCell ref="A3:P3"/>
    <x:mergeCell ref="A5:B5"/>
    <x:mergeCell ref="D5:E5"/>
    <x:mergeCell ref="G5:H5"/>
    <x:mergeCell ref="J5:P5"/>
    <x:mergeCell ref="A7:P7"/>
    <x:mergeCell ref="A24:P24"/>
    <x:mergeCell ref="A25:P25"/>
    <x:mergeCell ref="A26:P26"/>
    <x:mergeCell ref="A28:P28"/>
    <x:mergeCell ref="A29:P29"/>
    <x:mergeCell ref="A31:P31"/>
    <x:mergeCell ref="A32:P32"/>
    <x:mergeCell ref="A35:P35"/>
    <x:mergeCell ref="B36:D36"/>
    <x:mergeCell ref="E36:F36"/>
    <x:mergeCell ref="G36:H36"/>
    <x:mergeCell ref="I36:J36"/>
    <x:mergeCell ref="M36:N36"/>
    <x:mergeCell ref="O36:P36"/>
    <x:mergeCell ref="B37:D37"/>
    <x:mergeCell ref="E37:F37"/>
    <x:mergeCell ref="G37:H37"/>
    <x:mergeCell ref="I37:J37"/>
    <x:mergeCell ref="M37:N37"/>
    <x:mergeCell ref="O37:P37"/>
    <x:mergeCell ref="B38:D38"/>
    <x:mergeCell ref="E38:F38"/>
    <x:mergeCell ref="G38:H38"/>
    <x:mergeCell ref="I38:J38"/>
    <x:mergeCell ref="M38:N38"/>
    <x:mergeCell ref="O38:P38"/>
    <x:mergeCell ref="B39:D39"/>
    <x:mergeCell ref="E39:F39"/>
    <x:mergeCell ref="G39:H39"/>
    <x:mergeCell ref="I39:J39"/>
    <x:mergeCell ref="M39:N39"/>
    <x:mergeCell ref="O39:P39"/>
    <x:mergeCell ref="B40:D40"/>
    <x:mergeCell ref="E40:F40"/>
    <x:mergeCell ref="G40:H40"/>
    <x:mergeCell ref="I40:J40"/>
    <x:mergeCell ref="M40:N40"/>
    <x:mergeCell ref="O40:P40"/>
    <x:mergeCell ref="B41:D41"/>
    <x:mergeCell ref="E41:F41"/>
    <x:mergeCell ref="G41:H41"/>
    <x:mergeCell ref="I41:J41"/>
    <x:mergeCell ref="M41:N41"/>
    <x:mergeCell ref="O41:P41"/>
    <x:mergeCell ref="A43:P43"/>
  </x:mergeCells>
  <x:dataValidations count="4">
    <x:dataValidation type="list" sqref="B10:B21">
      <x:formula1>"Azure PoC,Housing,Hosting,据点 LAN,其他"</x:formula1>
    </x:dataValidation>
    <x:dataValidation type="list" sqref="C10:C21">
      <x:formula1>"安装/搭建,背景通信,基线,Discovery首次,Discovery再次执行,ACC首次,ACC正常运行,维护/更新"</x:formula1>
    </x:dataValidation>
    <x:dataValidation type="list" sqref="L10:L21">
      <x:formula1>"未拆分,VM整体值,目标流抽取,差分估计,无法识别"</x:formula1>
    </x:dataValidation>
    <x:dataValidation type="list" sqref="P10:P21">
      <x:formula1>"未测量,测量中,待确认,已确认"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1db416c7ff449b"/>
  </x:tableParts>
</x:worksheet>
</file>

<file path=xl/worksheets/sheet6.xml><?xml version="1.0" encoding="utf-8"?>
<x:worksheet xmlns:x="http://schemas.openxmlformats.org/spreadsheetml/2006/main">
  <x:sheetPr>
    <x:tabColor rgb="FF44444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26.2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</x:cols>
  <x:sheetData>
    <x:row r="1" ht="21" customHeight="1">
      <x:c r="A1" s="173"/>
      <x:c r="B1" s="174"/>
      <x:c r="C1" s="174"/>
      <x:c r="D1" s="174"/>
      <x:c r="E1" s="174"/>
      <x:c r="F1" s="175"/>
    </x:row>
    <x:row r="2" ht="30" customHeight="1">
      <x:c r="A2" s="176" t="str">
        <x:v>使用说明：面向环境负责人的事前确认资料</x:v>
      </x:c>
      <x:c r="B2" s="177" t="str">
        <x:v>使用说明：面向环境负责人的事前确认资料</x:v>
      </x:c>
      <x:c r="C2" s="177" t="str">
        <x:v>使用说明：面向环境负责人的事前确认资料</x:v>
      </x:c>
      <x:c r="D2" s="177" t="str">
        <x:v>使用说明：面向环境负责人的事前确认资料</x:v>
      </x:c>
      <x:c r="E2" s="177" t="str">
        <x:v>使用说明：面向环境负责人的事前确认资料</x:v>
      </x:c>
      <x:c r="F2" s="178" t="str">
        <x:v>使用说明：面向环境负责人的事前确认资料</x:v>
      </x:c>
    </x:row>
    <x:row r="3" ht="28.5" customHeight="1">
      <x:c r="A3" s="179" t="str">
        <x:v>本版以已完成的 Azure 单台 ACC 链路 PoC 为基础，明确 ITOM 提供通信条件与实测流量，环境负责人确认适用性和实施许可。</x:v>
      </x:c>
      <x:c r="B3" s="180" t="str">
        <x:v>本版以已完成的 Azure 单台 ACC 链路 PoC 为基础，明确 ITOM 提供通信条件与实测流量，环境负责人确认适用性和实施许可。</x:v>
      </x:c>
      <x:c r="C3" s="180" t="str">
        <x:v>本版以已完成的 Azure 单台 ACC 链路 PoC 为基础，明确 ITOM 提供通信条件与实测流量，环境负责人确认适用性和实施许可。</x:v>
      </x:c>
      <x:c r="D3" s="180" t="str">
        <x:v>本版以已完成的 Azure 单台 ACC 链路 PoC 为基础，明确 ITOM 提供通信条件与实测流量，环境负责人确认适用性和实施许可。</x:v>
      </x:c>
      <x:c r="E3" s="180" t="str">
        <x:v>本版以已完成的 Azure 单台 ACC 链路 PoC 为基础，明确 ITOM 提供通信条件与实测流量，环境负责人确认适用性和实施许可。</x:v>
      </x:c>
      <x:c r="F3" s="181" t="str">
        <x:v>本版以已完成的 Azure 单台 ACC 链路 PoC 为基础，明确 ITOM 提供通信条件与实测流量，环境负责人确认适用性和实施许可。</x:v>
      </x:c>
    </x:row>
    <x:row r="4" ht="21" customHeight="1">
      <x:c r="A4" s="182"/>
      <x:c r="B4" s="183"/>
      <x:c r="C4" s="183"/>
      <x:c r="D4" s="183"/>
      <x:c r="E4" s="183"/>
      <x:c r="F4" s="184"/>
    </x:row>
    <x:row r="5" ht="25.5" customHeight="1">
      <x:c r="A5" s="185" t="str">
        <x:v>怎样理解与使用</x:v>
      </x:c>
      <x:c r="B5" s="186" t="str">
        <x:v>怎样理解与使用</x:v>
      </x:c>
      <x:c r="C5" s="186" t="str">
        <x:v>怎样理解与使用</x:v>
      </x:c>
      <x:c r="D5" s="186" t="str">
        <x:v>怎样理解与使用</x:v>
      </x:c>
      <x:c r="E5" s="186" t="str">
        <x:v>怎样理解与使用</x:v>
      </x:c>
      <x:c r="F5" s="187" t="str">
        <x:v>怎样理解与使用</x:v>
      </x:c>
    </x:row>
    <x:row r="6" ht="75" customHeight="1">
      <x:c r="A6" s="191" t="str">
        <x:v>这份资料解决什么问题</x:v>
      </x:c>
      <x:c r="B6" s="192" t="str">
        <x:v>这份资料解决什么问题</x:v>
      </x:c>
      <x:c r="C6" s="183" t="str">
        <x:v>你是 ITOM 实施方，先提供基于自有 Azure PoC 的通信条件、测试配置与通信量，再请 Housing、Hosting、据点 LAN 负责人审查 MID 部署、目标范围、FW、回线影响、权限和实施时间。</x:v>
      </x:c>
      <x:c r="D6" s="183" t="str">
        <x:v>你是 ITOM 实施方，先提供基于自有 Azure PoC 的通信条件、测试配置与通信量，再请 Housing、Hosting、据点 LAN 负责人审查 MID 部署、目标范围、FW、回线影响、权限和实施时间。</x:v>
      </x:c>
      <x:c r="E6" s="183" t="str">
        <x:v>你是 ITOM 实施方，先提供基于自有 Azure PoC 的通信条件、测试配置与通信量，再请 Housing、Hosting、据点 LAN 负责人审查 MID 部署、目标范围、FW、回线影响、权限和实施时间。</x:v>
      </x:c>
      <x:c r="F6" s="184" t="str">
        <x:v>你是 ITOM 实施方，先提供基于自有 Azure PoC 的通信条件、测试配置与通信量，再请 Housing、Hosting、据点 LAN 负责人审查 MID 部署、目标范围、FW、回线影响、权限和实施时间。</x:v>
      </x:c>
    </x:row>
    <x:row r="7" ht="95" customHeight="1">
      <x:c r="A7" s="191" t="str">
        <x:v>如何发送</x:v>
      </x:c>
      <x:c r="B7" s="192" t="str">
        <x:v>如何发送</x:v>
      </x:c>
      <x:c r="C7" s="183" t="str">
        <x:v>ITOM 先整理第 03 页实际通信条件，完成第 05 页实测记录及原单位采纳，并在第 04 页提供结果。再请环境负责人填写第 02 页、确认第 03/04 页的现场差异和许可。实测值尚未完成时明确“待提供”，后续补交。</x:v>
      </x:c>
      <x:c r="D7" s="183" t="str">
        <x:v>ITOM 先整理第 03 页实际通信条件，完成第 05 页实测记录及原单位采纳，并在第 04 页提供结果。再请环境负责人填写第 02 页、确认第 03/04 页的现场差异和许可。实测值尚未完成时明确“待提供”，后续补交。</x:v>
      </x:c>
      <x:c r="E7" s="183" t="str">
        <x:v>ITOM 先整理第 03 页实际通信条件，完成第 05 页实测记录及原单位采纳，并在第 04 页提供结果。再请环境负责人填写第 02 页、确认第 03/04 页的现场差异和许可。实测值尚未完成时明确“待提供”，后续补交。</x:v>
      </x:c>
      <x:c r="F7" s="184" t="str">
        <x:v>ITOM 先整理第 03 页实际通信条件，完成第 05 页实测记录及原单位采纳，并在第 04 页提供结果。再请环境负责人填写第 02 页、确认第 03/04 页的现场差异和许可。实测值尚未完成时明确“待提供”，后续补交。</x:v>
      </x:c>
    </x:row>
    <x:row r="8" ht="75" customHeight="1">
      <x:c r="A8" s="191" t="str">
        <x:v>三个环境名称</x:v>
      </x:c>
      <x:c r="B8" s="192" t="str">
        <x:v>三个环境名称</x:v>
      </x:c>
      <x:c r="C8" s="183" t="str">
        <x:v>Housing、Hosting、据点 LAN（拠点 LAN）是本次协调的环境分类，不是三种 Discovery 产品。合同或内部定义可能不同，应先确认 VM、OS、网络、FW 和账号管理范围，不直接假定每环境都需独立 MID 或固定 2 台。</x:v>
      </x:c>
      <x:c r="D8" s="183" t="str">
        <x:v>Housing、Hosting、据点 LAN（拠点 LAN）是本次协调的环境分类，不是三种 Discovery 产品。合同或内部定义可能不同，应先确认 VM、OS、网络、FW 和账号管理范围，不直接假定每环境都需独立 MID 或固定 2 台。</x:v>
      </x:c>
      <x:c r="E8" s="183" t="str">
        <x:v>Housing、Hosting、据点 LAN（拠点 LAN）是本次协调的环境分类，不是三种 Discovery 产品。合同或内部定义可能不同，应先确认 VM、OS、网络、FW 和账号管理范围，不直接假定每环境都需独立 MID 或固定 2 台。</x:v>
      </x:c>
      <x:c r="F8" s="184" t="str">
        <x:v>Housing、Hosting、据点 LAN（拠点 LAN）是本次协调的环境分类，不是三种 Discovery 产品。合同或内部定义可能不同，应先确认 VM、OS、网络、FW 和账号管理范围，不直接假定每环境都需独立 MID 或固定 2 台。</x:v>
      </x:c>
    </x:row>
    <x:row r="9" ht="75" customHeight="1">
      <x:c r="A9" s="191" t="str">
        <x:v>MID配置与规格</x:v>
      </x:c>
      <x:c r="B9" s="192" t="str">
        <x:v>MID配置与规格</x:v>
      </x:c>
      <x:c r="C9" s="183" t="str">
        <x:v>MID的数量/规格取决于网络可达性、隔离边界、目标规模、并行任务和所用功能。当前没有目标数量和客户版本，因此没有把任意CPU/RAM/Disk数字写成官方最低要求。02留有规格与版本确认项。</x:v>
      </x:c>
      <x:c r="D9" s="183" t="str">
        <x:v>MID的数量/规格取决于网络可达性、隔离边界、目标规模、并行任务和所用功能。当前没有目标数量和客户版本，因此没有把任意CPU/RAM/Disk数字写成官方最低要求。02留有规格与版本确认项。</x:v>
      </x:c>
      <x:c r="E9" s="183" t="str">
        <x:v>MID的数量/规格取决于网络可达性、隔离边界、目标规模、并行任务和所用功能。当前没有目标数量和客户版本，因此没有把任意CPU/RAM/Disk数字写成官方最低要求。02留有规格与版本确认项。</x:v>
      </x:c>
      <x:c r="F9" s="184" t="str">
        <x:v>MID的数量/规格取决于网络可达性、隔离边界、目标规模、并行任务和所用功能。当前没有目标数量和客户版本，因此没有把任意CPU/RAM/Disk数字写成官方最低要求。02留有规格与版本确认项。</x:v>
      </x:c>
    </x:row>
    <x:row r="10" ht="75" customHeight="1">
      <x:c r="A10" s="191" t="str">
        <x:v>最核心的三条通信</x:v>
      </x:c>
      <x:c r="B10" s="192" t="str">
        <x:v>最核心的三条通信</x:v>
      </x:c>
      <x:c r="C10" s="183" t="str">
        <x:v>MID→ServiceNow是主动发起HTTPS连接；MID→目标设备根据SSH/WMI/WinRM/SNMP等取得数据；采用ACC时，ACC Agent→MID Listener另需入站许可。不要把“ServiceNow不主动连MID”理解成“MID不需要任何入站”。</x:v>
      </x:c>
      <x:c r="D10" s="183" t="str">
        <x:v>MID→ServiceNow是主动发起HTTPS连接；MID→目标设备根据SSH/WMI/WinRM/SNMP等取得数据；采用ACC时，ACC Agent→MID Listener另需入站许可。不要把“ServiceNow不主动连MID”理解成“MID不需要任何入站”。</x:v>
      </x:c>
      <x:c r="E10" s="183" t="str">
        <x:v>MID→ServiceNow是主动发起HTTPS连接；MID→目标设备根据SSH/WMI/WinRM/SNMP等取得数据；采用ACC时，ACC Agent→MID Listener另需入站许可。不要把“ServiceNow不主动连MID”理解成“MID不需要任何入站”。</x:v>
      </x:c>
      <x:c r="F10" s="184" t="str">
        <x:v>MID→ServiceNow是主动发起HTTPS连接；MID→目标设备根据SSH/WMI/WinRM/SNMP等取得数据；采用ACC时，ACC Agent→MID Listener另需入站许可。不要把“ServiceNow不主动连MID”理解成“MID不需要任何入站”。</x:v>
      </x:c>
    </x:row>
    <x:row r="11" ht="75" customHeight="1">
      <x:c r="A11" s="191" t="str">
        <x:v>为什么有条件性端口</x:v>
      </x:c>
      <x:c r="B11" s="192" t="str">
        <x:v>为什么有条件性端口</x:v>
      </x:c>
      <x:c r="C11" s="183" t="str">
        <x:v>SSH22、WMI135/动态RPC、SMB445、WinRM5985/5986、SNMP161等，按目标和采用方式选定。不是把整张表所有端口对所有目标一起打开。IP Range还需确认实际启用的Port Probe扫描范围。</x:v>
      </x:c>
      <x:c r="D11" s="183" t="str">
        <x:v>SSH22、WMI135/动态RPC、SMB445、WinRM5985/5986、SNMP161等，按目标和采用方式选定。不是把整张表所有端口对所有目标一起打开。IP Range还需确认实际启用的Port Probe扫描范围。</x:v>
      </x:c>
      <x:c r="E11" s="183" t="str">
        <x:v>SSH22、WMI135/动态RPC、SMB445、WinRM5985/5986、SNMP161等，按目标和采用方式选定。不是把整张表所有端口对所有目标一起打开。IP Range还需确认实际启用的Port Probe扫描范围。</x:v>
      </x:c>
      <x:c r="F11" s="184" t="str">
        <x:v>SSH22、WMI135/动态RPC、SMB445、WinRM5985/5986、SNMP161等，按目标和采用方式选定。不是把整张表所有端口对所有目标一起打开。IP Range还需确认实际启用的Port Probe扫描范围。</x:v>
      </x:c>
    </x:row>
    <x:row r="12" ht="75" customHeight="1">
      <x:c r="A12" s="191" t="str">
        <x:v>ACC端口谁配置</x:v>
      </x:c>
      <x:c r="B12" s="192" t="str">
        <x:v>ACC端口谁配置</x:v>
      </x:c>
      <x:c r="C12" s="183" t="str">
        <x:v>ITOM/ServiceNow 管理员通过 MID 的 Setup ACC Listener 配置监听端口，默认 8800 可以修改。网络团队按实际值放行。需核对端口和 WSS 证书信任，不能把默认值当作客户已有配置。使用 FQDN 时另确认 DNS。</x:v>
      </x:c>
      <x:c r="D12" s="183" t="str">
        <x:v>ITOM/ServiceNow 管理员通过 MID 的 Setup ACC Listener 配置监听端口，默认 8800 可以修改。网络团队按实际值放行。需核对端口和 WSS 证书信任，不能把默认值当作客户已有配置。使用 FQDN 时另确认 DNS。</x:v>
      </x:c>
      <x:c r="E12" s="183" t="str">
        <x:v>ITOM/ServiceNow 管理员通过 MID 的 Setup ACC Listener 配置监听端口，默认 8800 可以修改。网络团队按实际值放行。需核对端口和 WSS 证书信任，不能把默认值当作客户已有配置。使用 FQDN 时另确认 DNS。</x:v>
      </x:c>
      <x:c r="F12" s="184" t="str">
        <x:v>ITOM/ServiceNow 管理员通过 MID 的 Setup ACC Listener 配置监听端口，默认 8800 可以修改。网络团队按实际值放行。需核对端口和 WSS 证书信任，不能把默认值当作客户已有配置。使用 FQDN 时另确认 DNS。</x:v>
      </x:c>
    </x:row>
    <x:row r="13" ht="75" customHeight="1">
      <x:c r="A13" s="191" t="str">
        <x:v>账号不要混淆</x:v>
      </x:c>
      <x:c r="B13" s="192" t="str">
        <x:v>账号不要混淆</x:v>
      </x:c>
      <x:c r="C13" s="183" t="str">
        <x:v>MID安装者/OS服务账号、MID连接ServiceNow的用户、Discovery登录目标设备的凭证、ACC相关配置是不同角色。目标Windows/Linux所需权限按具体方式验证；不要一律索取Domain Admin或root。秘密信息不要写进Excel。</x:v>
      </x:c>
      <x:c r="D13" s="183" t="str">
        <x:v>MID安装者/OS服务账号、MID连接ServiceNow的用户、Discovery登录目标设备的凭证、ACC相关配置是不同角色。目标Windows/Linux所需权限按具体方式验证；不要一律索取Domain Admin或root。秘密信息不要写进Excel。</x:v>
      </x:c>
      <x:c r="E13" s="183" t="str">
        <x:v>MID安装者/OS服务账号、MID连接ServiceNow的用户、Discovery登录目标设备的凭证、ACC相关配置是不同角色。目标Windows/Linux所需权限按具体方式验证；不要一律索取Domain Admin或root。秘密信息不要写进Excel。</x:v>
      </x:c>
      <x:c r="F13" s="184" t="str">
        <x:v>MID安装者/OS服务账号、MID连接ServiceNow的用户、Discovery登录目标设备的凭证、ACC相关配置是不同角色。目标Windows/Linux所需权限按具体方式验证；不要一律索取Domain Admin或root。秘密信息不要写进Excel。</x:v>
      </x:c>
    </x:row>
    <x:row r="14" ht="110" customHeight="1">
      <x:c r="A14" s="191" t="str">
        <x:v>PoC 完成与流量测定的区别</x:v>
      </x:c>
      <x:c r="B14" s="192" t="str">
        <x:v>PoC 完成与流量测定的区别</x:v>
      </x:c>
      <x:c r="C14" s="183" t="str">
        <x:v>目前已知：你已在 Azure 完成 1 台 ACC 经 MID 向 Instance 传输。连接成功并不等于已知道每条路径的 Bytes。由 ITOM 再测安装、首次采集、正常运行等阶段；本版没有假定端口、采集周期或填入未经核验的流量。</x:v>
      </x:c>
      <x:c r="D14" s="183" t="str">
        <x:v>目前已知：你已在 Azure 完成 1 台 ACC 经 MID 向 Instance 传输。连接成功并不等于已知道每条路径的 Bytes。由 ITOM 再测安装、首次采集、正常运行等阶段；本版没有假定端口、采集周期或填入未经核验的流量。</x:v>
      </x:c>
      <x:c r="E14" s="183" t="str">
        <x:v>目前已知：你已在 Azure 完成 1 台 ACC 经 MID 向 Instance 传输。连接成功并不等于已知道每条路径的 Bytes。由 ITOM 再测安装、首次采集、正常运行等阶段；本版没有假定端口、采集周期或填入未经核验的流量。</x:v>
      </x:c>
      <x:c r="F14" s="184" t="str">
        <x:v>目前已知：你已在 Azure 完成 1 台 ACC 经 MID 向 Instance 传输。连接成功并不等于已知道每条路径的 Bytes。由 ITOM 再测安装、首次采集、正常运行等阶段；本版没有假定端口、采集周期或填入未经核验的流量。</x:v>
      </x:c>
    </x:row>
    <x:row r="15" ht="75" customHeight="1">
      <x:c r="A15" s="191" t="str">
        <x:v>Azure画面可以看什么</x:v>
      </x:c>
      <x:c r="B15" s="192" t="str">
        <x:v>Azure画面可以看什么</x:v>
      </x:c>
      <x:c r="C15" s="183" t="str">
        <x:v>VM Metrics的Network In/Out Total是VM所有NIC的流量，按Bytes/Sum统计。它不能直接证明某段数据全部属于ACC/Discovery。要细分来源，需有Flow log/FW/Proxy等可识别目标IP/Port并带Bytes的数据。官方入口参照01的S11～S15。</x:v>
      </x:c>
      <x:c r="D15" s="183" t="str">
        <x:v>VM Metrics的Network In/Out Total是VM所有NIC的流量，按Bytes/Sum统计。它不能直接证明某段数据全部属于ACC/Discovery。要细分来源，需有Flow log/FW/Proxy等可识别目标IP/Port并带Bytes的数据。官方入口参照01的S11～S15。</x:v>
      </x:c>
      <x:c r="E15" s="183" t="str">
        <x:v>VM Metrics的Network In/Out Total是VM所有NIC的流量，按Bytes/Sum统计。它不能直接证明某段数据全部属于ACC/Discovery。要细分来源，需有Flow log/FW/Proxy等可识别目标IP/Port并带Bytes的数据。官方入口参照01的S11～S15。</x:v>
      </x:c>
      <x:c r="F15" s="184" t="str">
        <x:v>VM Metrics的Network In/Out Total是VM所有NIC的流量，按Bytes/Sum统计。它不能直接证明某段数据全部属于ACC/Discovery。要细分来源，需有Flow log/FW/Proxy等可识别目标IP/Port并带Bytes的数据。官方入口参照01的S11～S15。</x:v>
      </x:c>
    </x:row>
    <x:row r="16" ht="105" customHeight="1">
      <x:c r="A16" s="191" t="str">
        <x:v>现场没有Azure怎么办</x:v>
      </x:c>
      <x:c r="B16" s="192" t="str">
        <x:v>现场没有Azure怎么办</x:v>
      </x:c>
      <x:c r="C16" s="183" t="str">
        <x:v>本次由 ITOM 提供 Azure PoC 基准，不要求 Housing/Hosting/据点 LAN 负责人先代测。环境负责人确认当地回线、台数/频率、Proxy/NAT 等差异。需要现场复核时，ITOM 与对方使用现有 FW/Proxy/Flow log 或 OS/NIC 监控协调验证。</x:v>
      </x:c>
      <x:c r="D16" s="183" t="str">
        <x:v>本次由 ITOM 提供 Azure PoC 基准，不要求 Housing/Hosting/据点 LAN 负责人先代测。环境负责人确认当地回线、台数/频率、Proxy/NAT 等差异。需要现场复核时，ITOM 与对方使用现有 FW/Proxy/Flow log 或 OS/NIC 监控协调验证。</x:v>
      </x:c>
      <x:c r="E16" s="183" t="str">
        <x:v>本次由 ITOM 提供 Azure PoC 基准，不要求 Housing/Hosting/据点 LAN 负责人先代测。环境负责人确认当地回线、台数/频率、Proxy/NAT 等差异。需要现场复核时，ITOM 与对方使用现有 FW/Proxy/Flow log 或 OS/NIC 监控协调验证。</x:v>
      </x:c>
      <x:c r="F16" s="184" t="str">
        <x:v>本次由 ITOM 提供 Azure PoC 基准，不要求 Housing/Hosting/据点 LAN 负责人先代测。环境负责人确认当地回线、台数/频率、Proxy/NAT 等差异。需要现场复核时，ITOM 与对方使用现有 FW/Proxy/Flow log 或 OS/NIC 监控协调验证。</x:v>
      </x:c>
    </x:row>
    <x:row r="17" ht="105" customHeight="1">
      <x:c r="A17" s="191" t="str">
        <x:v>通信量的边界</x:v>
      </x:c>
      <x:c r="B17" s="192" t="str">
        <x:v>通信量的边界</x:v>
      </x:c>
      <x:c r="C17" s="183" t="str">
        <x:v>ACC→MID的内部通信、MID→ServiceNow的外部通信分开统计。相同通信不能把发送侧Out和接收侧In重复相加。全周期量得到的是平均Mbps，不是瞬时峰值，也不是费用。</x:v>
      </x:c>
      <x:c r="D17" s="183" t="str">
        <x:v>ACC→MID的内部通信、MID→ServiceNow的外部通信分开统计。相同通信不能把发送侧Out和接收侧In重复相加。全周期量得到的是平均Mbps，不是瞬时峰值，也不是费用。</x:v>
      </x:c>
      <x:c r="E17" s="183" t="str">
        <x:v>ACC→MID的内部通信、MID→ServiceNow的外部通信分开统计。相同通信不能把发送侧Out和接收侧In重复相加。全周期量得到的是平均Mbps，不是瞬时峰值，也不是费用。</x:v>
      </x:c>
      <x:c r="F17" s="184" t="str">
        <x:v>ACC→MID的内部通信、MID→ServiceNow的外部通信分开统计。相同通信不能把发送侧Out和接收侧In重复相加。全周期量得到的是平均Mbps，不是瞬时峰值，也不是费用。</x:v>
      </x:c>
    </x:row>
    <x:row r="18" ht="105" customHeight="1">
      <x:c r="A18" s="191" t="str">
        <x:v>建议的推进顺序</x:v>
      </x:c>
      <x:c r="B18" s="192" t="str">
        <x:v>建议的推进顺序</x:v>
      </x:c>
      <x:c r="C18" s="183" t="str">
        <x:v>ITOM 整理 PoC 实际配置与通信表，按路径/阶段测流量并提交；环境负责人审查部署与许可；确认差异、时间和停止条件后对代表目标实施现场验证，再逐步扩大。单台 PoC 的换算量是参考，不是本环境的实测保证。</x:v>
      </x:c>
      <x:c r="D18" s="183" t="str">
        <x:v>ITOM 整理 PoC 实际配置与通信表，按路径/阶段测流量并提交；环境负责人审查部署与许可；确认差异、时间和停止条件后对代表目标实施现场验证，再逐步扩大。单台 PoC 的换算量是参考，不是本环境的实测保证。</x:v>
      </x:c>
      <x:c r="E18" s="183" t="str">
        <x:v>ITOM 整理 PoC 实际配置与通信表，按路径/阶段测流量并提交；环境负责人审查部署与许可；确认差异、时间和停止条件后对代表目标实施现场验证，再逐步扩大。单台 PoC 的换算量是参考，不是本环境的实测保证。</x:v>
      </x:c>
      <x:c r="F18" s="184" t="str">
        <x:v>ITOM 整理 PoC 实际配置与通信表，按路径/阶段测流量并提交；环境负责人审查部署与许可；确认差异、时间和停止条件后对代表目标实施现场验证，再逐步扩大。单台 PoC 的换算量是参考，不是本环境的实测保证。</x:v>
      </x:c>
    </x:row>
    <x:row r="19" ht="105" customHeight="1">
      <x:c r="A19" s="191" t="str">
        <x:v>资料里的依据</x:v>
      </x:c>
      <x:c r="B19" s="192" t="str">
        <x:v>资料里的依据</x:v>
      </x:c>
      <x:c r="C19" s="183" t="str">
        <x:v>官方 URL 在第 01 页，技术行按 Sxx 引用。本次核对 ACC Listener、acc.yml、Azure VM 指标定义（S03/S11/S18），其余沿用原来源。完成事实来自实施方说明，实际 IP/Port、周期、流量与证据由实施方补充，不把参考或默认值标为实测。</x:v>
      </x:c>
      <x:c r="D19" s="183" t="str">
        <x:v>官方 URL 在第 01 页，技术行按 Sxx 引用。本次核对 ACC Listener、acc.yml、Azure VM 指标定义（S03/S11/S18），其余沿用原来源。完成事实来自实施方说明，实际 IP/Port、周期、流量与证据由实施方补充，不把参考或默认值标为实测。</x:v>
      </x:c>
      <x:c r="E19" s="183" t="str">
        <x:v>官方 URL 在第 01 页，技术行按 Sxx 引用。本次核对 ACC Listener、acc.yml、Azure VM 指标定义（S03/S11/S18），其余沿用原来源。完成事实来自实施方说明，实际 IP/Port、周期、流量与证据由实施方补充，不把参考或默认值标为实测。</x:v>
      </x:c>
      <x:c r="F19" s="184" t="str">
        <x:v>官方 URL 在第 01 页，技术行按 Sxx 引用。本次核对 ACC Listener、acc.yml、Azure VM 指标定义（S03/S11/S18），其余沿用原来源。完成事实来自实施方说明，实际 IP/Port、周期、流量与证据由实施方补充，不把参考或默认值标为实测。</x:v>
      </x:c>
    </x:row>
    <x:row r="20" ht="105" customHeight="1">
      <x:c r="A20" s="191" t="str">
        <x:v>补充资料与通信 ID</x:v>
      </x:c>
      <x:c r="B20" s="192" t="str">
        <x:v>补充资料与通信 ID</x:v>
      </x:c>
      <x:c r="C20" s="183" t="str">
        <x:v>吸收补充资料的通信 ID、分阶段测量、记录 ID 关联、原单位/规模参考及防止重复计数的结构。本工作簿继续使用第 03 页 C01～C20，不能直接套用补充资料中同编号但不同含义的通信行。</x:v>
      </x:c>
      <x:c r="D20" s="183" t="str">
        <x:v>吸收补充资料的通信 ID、分阶段测量、记录 ID 关联、原单位/规模参考及防止重复计数的结构。本工作簿继续使用第 03 页 C01～C20，不能直接套用补充资料中同编号但不同含义的通信行。</x:v>
      </x:c>
      <x:c r="E20" s="183" t="str">
        <x:v>吸收补充资料的通信 ID、分阶段测量、记录 ID 关联、原单位/规模参考及防止重复计数的结构。本工作簿继续使用第 03 页 C01～C20，不能直接套用补充资料中同编号但不同含义的通信行。</x:v>
      </x:c>
      <x:c r="F20" s="184" t="str">
        <x:v>吸收补充资料的通信 ID、分阶段测量、记录 ID 关联、原单位/规模参考及防止重复计数的结构。本工作簿继续使用第 03 页 C01～C20，不能直接套用补充资料中同编号但不同含义的通信行。</x:v>
      </x:c>
    </x:row>
    <x:row r="21" ht="21" customHeight="1">
      <x:c r="A21" s="182"/>
      <x:c r="B21" s="183"/>
      <x:c r="C21" s="183"/>
      <x:c r="D21" s="183"/>
      <x:c r="E21" s="183"/>
      <x:c r="F21" s="184"/>
    </x:row>
    <x:row r="22" ht="25.5" customHeight="1">
      <x:c r="A22" s="185" t="str">
        <x:v>下一步由 ITOM 准备的实际资料</x:v>
      </x:c>
      <x:c r="B22" s="186" t="str">
        <x:v>下一步由 ITOM 准备的实际资料</x:v>
      </x:c>
      <x:c r="C22" s="186" t="str">
        <x:v>下一步由 ITOM 准备的实际资料</x:v>
      </x:c>
      <x:c r="D22" s="186" t="str">
        <x:v>下一步由 ITOM 准备的实际资料</x:v>
      </x:c>
      <x:c r="E22" s="186" t="str">
        <x:v>下一步由 ITOM 准备的实际资料</x:v>
      </x:c>
      <x:c r="F22" s="187" t="str">
        <x:v>下一步由 ITOM 准备的实际资料</x:v>
      </x:c>
    </x:row>
    <x:row r="23" ht="66" customHeight="1">
      <x:c r="A23" s="194" t="str">
        <x:v>回填 Azure PoC 的测试日期、ACC/MID/SN 版本、OS、实际 backend-url/Listener/Instance URL、Policy/Check 周期、证据和原始 Bytes。先明确只有 VM整体量还是已分离 C13/C01，据此提供正确口径。环境方补充本环境配置与许可。</x:v>
      </x:c>
      <x:c r="B23" s="195" t="str">
        <x:v>回填 Azure PoC 的测试日期、ACC/MID/SN 版本、OS、实际 backend-url/Listener/Instance URL、Policy/Check 周期、证据和原始 Bytes。先明确只有 VM整体量还是已分离 C13/C01，据此提供正确口径。环境方补充本环境配置与许可。</x:v>
      </x:c>
      <x:c r="C23" s="195" t="str">
        <x:v>回填 Azure PoC 的测试日期、ACC/MID/SN 版本、OS、实际 backend-url/Listener/Instance URL、Policy/Check 周期、证据和原始 Bytes。先明确只有 VM整体量还是已分离 C13/C01，据此提供正确口径。环境方补充本环境配置与许可。</x:v>
      </x:c>
      <x:c r="D23" s="195" t="str">
        <x:v>回填 Azure PoC 的测试日期、ACC/MID/SN 版本、OS、实际 backend-url/Listener/Instance URL、Policy/Check 周期、证据和原始 Bytes。先明确只有 VM整体量还是已分离 C13/C01，据此提供正确口径。环境方补充本环境配置与许可。</x:v>
      </x:c>
      <x:c r="E23" s="195" t="str">
        <x:v>回填 Azure PoC 的测试日期、ACC/MID/SN 版本、OS、实际 backend-url/Listener/Instance URL、Policy/Check 周期、证据和原始 Bytes。先明确只有 VM整体量还是已分离 C13/C01，据此提供正确口径。环境方补充本环境配置与许可。</x:v>
      </x:c>
      <x:c r="F23" s="196" t="str">
        <x:v>回填 Azure PoC 的测试日期、ACC/MID/SN 版本、OS、实际 backend-url/Listener/Instance URL、Policy/Check 周期、证据和原始 Bytes。先明确只有 VM整体量还是已分离 C13/C01，据此提供正确口径。环境方补充本环境配置与许可。</x:v>
      </x:c>
    </x:row>
    <x:row r="24" ht="21" customHeight="1">
      <x:c r="A24" s="182"/>
      <x:c r="B24" s="183"/>
      <x:c r="C24" s="183"/>
      <x:c r="D24" s="183"/>
      <x:c r="E24" s="183"/>
      <x:c r="F24" s="184"/>
    </x:row>
    <x:row r="25" ht="21" customHeight="1">
      <x:c r="A25" s="182"/>
      <x:c r="B25" s="183"/>
      <x:c r="C25" s="183"/>
      <x:c r="D25" s="183"/>
      <x:c r="E25" s="183"/>
      <x:c r="F25" s="184"/>
    </x:row>
    <x:row r="26" ht="21" customHeight="1">
      <x:c r="A26" s="182"/>
      <x:c r="B26" s="183"/>
      <x:c r="C26" s="183"/>
      <x:c r="D26" s="183"/>
      <x:c r="E26" s="183"/>
      <x:c r="F26" s="184"/>
    </x:row>
    <x:row r="27" ht="21" customHeight="1">
      <x:c r="A27" s="182"/>
      <x:c r="B27" s="183"/>
      <x:c r="C27" s="183"/>
      <x:c r="D27" s="183"/>
      <x:c r="E27" s="183"/>
      <x:c r="F27" s="184"/>
    </x:row>
    <x:row r="28" ht="21" customHeight="1">
      <x:c r="A28" s="182"/>
      <x:c r="B28" s="183"/>
      <x:c r="C28" s="183"/>
      <x:c r="D28" s="183"/>
      <x:c r="E28" s="183"/>
      <x:c r="F28" s="184"/>
    </x:row>
    <x:row r="29" ht="21" customHeight="1">
      <x:c r="A29" s="182"/>
      <x:c r="B29" s="183"/>
      <x:c r="C29" s="183"/>
      <x:c r="D29" s="183"/>
      <x:c r="E29" s="183"/>
      <x:c r="F29" s="184"/>
    </x:row>
    <x:row r="30" ht="21" customHeight="1">
      <x:c r="A30" s="182"/>
      <x:c r="B30" s="183"/>
      <x:c r="C30" s="183"/>
      <x:c r="D30" s="183"/>
      <x:c r="E30" s="183"/>
      <x:c r="F30" s="184"/>
    </x:row>
    <x:row r="31" ht="21" customHeight="1">
      <x:c r="A31" s="182"/>
      <x:c r="B31" s="183"/>
      <x:c r="C31" s="183"/>
      <x:c r="D31" s="183"/>
      <x:c r="E31" s="183"/>
      <x:c r="F31" s="184"/>
    </x:row>
    <x:row r="32" ht="21" customHeight="1">
      <x:c r="A32" s="182"/>
      <x:c r="B32" s="183"/>
      <x:c r="C32" s="183"/>
      <x:c r="D32" s="183"/>
      <x:c r="E32" s="183"/>
      <x:c r="F32" s="184"/>
    </x:row>
    <x:row r="33" ht="21" customHeight="1">
      <x:c r="A33" s="182"/>
      <x:c r="B33" s="183"/>
      <x:c r="C33" s="183"/>
      <x:c r="D33" s="183"/>
      <x:c r="E33" s="183"/>
      <x:c r="F33" s="184"/>
    </x:row>
    <x:row r="34" ht="21" customHeight="1">
      <x:c r="A34" s="182"/>
      <x:c r="B34" s="183"/>
      <x:c r="C34" s="183"/>
      <x:c r="D34" s="183"/>
      <x:c r="E34" s="183"/>
      <x:c r="F34" s="184"/>
    </x:row>
    <x:row r="35" ht="21" customHeight="1">
      <x:c r="A35" s="182"/>
      <x:c r="B35" s="183"/>
      <x:c r="C35" s="183"/>
      <x:c r="D35" s="183"/>
      <x:c r="E35" s="183"/>
      <x:c r="F35" s="184"/>
    </x:row>
    <x:row r="36" ht="21" customHeight="1">
      <x:c r="A36" s="182"/>
      <x:c r="B36" s="183"/>
      <x:c r="C36" s="183"/>
      <x:c r="D36" s="183"/>
      <x:c r="E36" s="183"/>
      <x:c r="F36" s="184"/>
    </x:row>
    <x:row r="37" ht="21" customHeight="1">
      <x:c r="A37" s="182"/>
      <x:c r="B37" s="183"/>
      <x:c r="C37" s="183"/>
      <x:c r="D37" s="183"/>
      <x:c r="E37" s="183"/>
      <x:c r="F37" s="184"/>
    </x:row>
    <x:row r="38" ht="21" customHeight="1">
      <x:c r="A38" s="182"/>
      <x:c r="B38" s="183"/>
      <x:c r="C38" s="183"/>
      <x:c r="D38" s="183"/>
      <x:c r="E38" s="183"/>
      <x:c r="F38" s="184"/>
    </x:row>
    <x:row r="39" ht="21" customHeight="1">
      <x:c r="A39" s="182"/>
      <x:c r="B39" s="183"/>
      <x:c r="C39" s="183"/>
      <x:c r="D39" s="183"/>
      <x:c r="E39" s="183"/>
      <x:c r="F39" s="184"/>
    </x:row>
    <x:row r="40" ht="21" customHeight="1">
      <x:c r="A40" s="182"/>
      <x:c r="B40" s="183"/>
      <x:c r="C40" s="183"/>
      <x:c r="D40" s="183"/>
      <x:c r="E40" s="183"/>
      <x:c r="F40" s="184"/>
    </x:row>
    <x:row r="41" ht="21" customHeight="1">
      <x:c r="A41" s="182"/>
      <x:c r="B41" s="183"/>
      <x:c r="C41" s="183"/>
      <x:c r="D41" s="183"/>
      <x:c r="E41" s="183"/>
      <x:c r="F41" s="184"/>
    </x:row>
    <x:row r="42" ht="21" customHeight="1">
      <x:c r="A42" s="182"/>
      <x:c r="B42" s="183"/>
      <x:c r="C42" s="183"/>
      <x:c r="D42" s="183"/>
      <x:c r="E42" s="183"/>
      <x:c r="F42" s="184"/>
    </x:row>
    <x:row r="43" ht="21" customHeight="1">
      <x:c r="A43" s="182"/>
      <x:c r="B43" s="183"/>
      <x:c r="C43" s="183"/>
      <x:c r="D43" s="183"/>
      <x:c r="E43" s="183"/>
      <x:c r="F43" s="184"/>
    </x:row>
    <x:row r="44" ht="21" customHeight="1">
      <x:c r="A44" s="182"/>
      <x:c r="B44" s="183"/>
      <x:c r="C44" s="183"/>
      <x:c r="D44" s="183"/>
      <x:c r="E44" s="183"/>
      <x:c r="F44" s="184"/>
    </x:row>
    <x:row r="45" ht="21" customHeight="1">
      <x:c r="A45" s="182"/>
      <x:c r="B45" s="183"/>
      <x:c r="C45" s="183"/>
      <x:c r="D45" s="183"/>
      <x:c r="E45" s="183"/>
      <x:c r="F45" s="184"/>
    </x:row>
    <x:row r="46" ht="21" customHeight="1">
      <x:c r="A46" s="182"/>
      <x:c r="B46" s="183"/>
      <x:c r="C46" s="183"/>
      <x:c r="D46" s="183"/>
      <x:c r="E46" s="183"/>
      <x:c r="F46" s="184"/>
    </x:row>
    <x:row r="47" ht="21" customHeight="1">
      <x:c r="A47" s="182"/>
      <x:c r="B47" s="183"/>
      <x:c r="C47" s="183"/>
      <x:c r="D47" s="183"/>
      <x:c r="E47" s="183"/>
      <x:c r="F47" s="184"/>
    </x:row>
    <x:row r="48" ht="21" customHeight="1">
      <x:c r="A48" s="182"/>
      <x:c r="B48" s="183"/>
      <x:c r="C48" s="183"/>
      <x:c r="D48" s="183"/>
      <x:c r="E48" s="183"/>
      <x:c r="F48" s="184"/>
    </x:row>
    <x:row r="49" ht="21" customHeight="1">
      <x:c r="A49" s="182"/>
      <x:c r="B49" s="183"/>
      <x:c r="C49" s="183"/>
      <x:c r="D49" s="183"/>
      <x:c r="E49" s="183"/>
      <x:c r="F49" s="184"/>
    </x:row>
    <x:row r="50" ht="21" customHeight="1">
      <x:c r="A50" s="182"/>
      <x:c r="B50" s="183"/>
      <x:c r="C50" s="183"/>
      <x:c r="D50" s="183"/>
      <x:c r="E50" s="183"/>
      <x:c r="F50" s="184"/>
    </x:row>
    <x:row r="51" ht="21" customHeight="1">
      <x:c r="A51" s="182"/>
      <x:c r="B51" s="183"/>
      <x:c r="C51" s="183"/>
      <x:c r="D51" s="183"/>
      <x:c r="E51" s="183"/>
      <x:c r="F51" s="184"/>
    </x:row>
    <x:row r="52" ht="21" customHeight="1">
      <x:c r="A52" s="182"/>
      <x:c r="B52" s="183"/>
      <x:c r="C52" s="183"/>
      <x:c r="D52" s="183"/>
      <x:c r="E52" s="183"/>
      <x:c r="F52" s="184"/>
    </x:row>
    <x:row r="53" ht="21" customHeight="1">
      <x:c r="A53" s="182"/>
      <x:c r="B53" s="183"/>
      <x:c r="C53" s="183"/>
      <x:c r="D53" s="183"/>
      <x:c r="E53" s="183"/>
      <x:c r="F53" s="184"/>
    </x:row>
    <x:row r="54" ht="21" customHeight="1">
      <x:c r="A54" s="182"/>
      <x:c r="B54" s="183"/>
      <x:c r="C54" s="183"/>
      <x:c r="D54" s="183"/>
      <x:c r="E54" s="183"/>
      <x:c r="F54" s="184"/>
    </x:row>
    <x:row r="55" ht="21" customHeight="1">
      <x:c r="A55" s="199"/>
      <x:c r="B55" s="200"/>
      <x:c r="C55" s="200"/>
      <x:c r="D55" s="200"/>
      <x:c r="E55" s="200"/>
      <x:c r="F55" s="201"/>
    </x:row>
    <x:row r="56">
      <x:c r="A56" s="210"/>
      <x:c r="B56" s="210"/>
      <x:c r="C56" s="210"/>
      <x:c r="D56" s="210"/>
      <x:c r="E56" s="210"/>
      <x:c r="F56" s="210"/>
    </x:row>
    <x:row r="57">
      <x:c r="A57" s="210"/>
      <x:c r="B57" s="210"/>
      <x:c r="C57" s="210"/>
      <x:c r="D57" s="210"/>
      <x:c r="E57" s="210"/>
      <x:c r="F57" s="210"/>
    </x:row>
    <x:row r="58">
      <x:c r="A58" s="210"/>
      <x:c r="B58" s="210"/>
      <x:c r="C58" s="210"/>
      <x:c r="D58" s="210"/>
      <x:c r="E58" s="210"/>
      <x:c r="F58" s="210"/>
    </x:row>
    <x:row r="59">
      <x:c r="A59" s="210"/>
      <x:c r="B59" s="210"/>
      <x:c r="C59" s="210"/>
      <x:c r="D59" s="210"/>
      <x:c r="E59" s="210"/>
      <x:c r="F59" s="210"/>
    </x:row>
    <x:row r="60">
      <x:c r="A60" s="210"/>
      <x:c r="B60" s="210"/>
      <x:c r="C60" s="210"/>
      <x:c r="D60" s="210"/>
      <x:c r="E60" s="210"/>
      <x:c r="F60" s="210"/>
    </x:row>
    <x:row r="61">
      <x:c r="A61" s="210"/>
      <x:c r="B61" s="210"/>
      <x:c r="C61" s="210"/>
      <x:c r="D61" s="210"/>
      <x:c r="E61" s="210"/>
      <x:c r="F61" s="210"/>
    </x:row>
    <x:row r="62">
      <x:c r="A62" s="210"/>
      <x:c r="B62" s="210"/>
      <x:c r="C62" s="210"/>
      <x:c r="D62" s="210"/>
      <x:c r="E62" s="210"/>
      <x:c r="F62" s="210"/>
    </x:row>
    <x:row r="63">
      <x:c r="A63" s="210"/>
      <x:c r="B63" s="210"/>
      <x:c r="C63" s="210"/>
      <x:c r="D63" s="210"/>
      <x:c r="E63" s="210"/>
      <x:c r="F63" s="210"/>
    </x:row>
    <x:row r="64">
      <x:c r="A64" s="210"/>
      <x:c r="B64" s="210"/>
      <x:c r="C64" s="210"/>
      <x:c r="D64" s="210"/>
      <x:c r="E64" s="210"/>
      <x:c r="F64" s="210"/>
    </x:row>
    <x:row r="65">
      <x:c r="A65" s="210"/>
      <x:c r="B65" s="210"/>
      <x:c r="C65" s="210"/>
      <x:c r="D65" s="210"/>
      <x:c r="E65" s="210"/>
      <x:c r="F65" s="210"/>
    </x:row>
    <x:row r="66">
      <x:c r="A66" s="210"/>
      <x:c r="B66" s="210"/>
      <x:c r="C66" s="210"/>
      <x:c r="D66" s="210"/>
      <x:c r="E66" s="210"/>
      <x:c r="F66" s="210"/>
    </x:row>
    <x:row r="67">
      <x:c r="A67" s="210"/>
      <x:c r="B67" s="210"/>
      <x:c r="C67" s="210"/>
      <x:c r="D67" s="210"/>
      <x:c r="E67" s="210"/>
      <x:c r="F67" s="210"/>
    </x:row>
    <x:row r="68">
      <x:c r="A68" s="210"/>
      <x:c r="B68" s="210"/>
      <x:c r="C68" s="210"/>
      <x:c r="D68" s="210"/>
      <x:c r="E68" s="210"/>
      <x:c r="F68" s="210"/>
    </x:row>
    <x:row r="69">
      <x:c r="A69" s="210"/>
      <x:c r="B69" s="210"/>
      <x:c r="C69" s="210"/>
      <x:c r="D69" s="210"/>
      <x:c r="E69" s="210"/>
      <x:c r="F69" s="210"/>
    </x:row>
    <x:row r="70">
      <x:c r="A70" s="210"/>
      <x:c r="B70" s="210"/>
      <x:c r="C70" s="210"/>
      <x:c r="D70" s="210"/>
      <x:c r="E70" s="210"/>
      <x:c r="F70" s="210"/>
    </x:row>
    <x:row r="71">
      <x:c r="A71" s="210"/>
      <x:c r="B71" s="210"/>
      <x:c r="C71" s="210"/>
      <x:c r="D71" s="210"/>
      <x:c r="E71" s="210"/>
      <x:c r="F71" s="210"/>
    </x:row>
    <x:row r="72">
      <x:c r="A72" s="210"/>
      <x:c r="B72" s="210"/>
      <x:c r="C72" s="210"/>
      <x:c r="D72" s="210"/>
      <x:c r="E72" s="210"/>
      <x:c r="F72" s="210"/>
    </x:row>
    <x:row r="73">
      <x:c r="A73" s="210"/>
      <x:c r="B73" s="210"/>
      <x:c r="C73" s="210"/>
      <x:c r="D73" s="210"/>
      <x:c r="E73" s="210"/>
      <x:c r="F73" s="210"/>
    </x:row>
    <x:row r="74">
      <x:c r="A74" s="210"/>
      <x:c r="B74" s="210"/>
      <x:c r="C74" s="210"/>
      <x:c r="D74" s="210"/>
      <x:c r="E74" s="210"/>
      <x:c r="F74" s="210"/>
    </x:row>
    <x:row r="75">
      <x:c r="A75" s="210"/>
      <x:c r="B75" s="210"/>
      <x:c r="C75" s="210"/>
      <x:c r="D75" s="210"/>
      <x:c r="E75" s="210"/>
      <x:c r="F75" s="210"/>
    </x:row>
    <x:row r="76">
      <x:c r="A76" s="210"/>
      <x:c r="B76" s="210"/>
      <x:c r="C76" s="210"/>
      <x:c r="D76" s="210"/>
      <x:c r="E76" s="210"/>
      <x:c r="F76" s="210"/>
    </x:row>
    <x:row r="77">
      <x:c r="A77" s="210"/>
      <x:c r="B77" s="210"/>
      <x:c r="C77" s="210"/>
      <x:c r="D77" s="210"/>
      <x:c r="E77" s="210"/>
      <x:c r="F77" s="210"/>
    </x:row>
    <x:row r="78">
      <x:c r="A78" s="210"/>
      <x:c r="B78" s="210"/>
      <x:c r="C78" s="210"/>
      <x:c r="D78" s="210"/>
      <x:c r="E78" s="210"/>
      <x:c r="F78" s="210"/>
    </x:row>
    <x:row r="79">
      <x:c r="A79" s="210"/>
      <x:c r="B79" s="210"/>
      <x:c r="C79" s="210"/>
      <x:c r="D79" s="210"/>
      <x:c r="E79" s="210"/>
      <x:c r="F79" s="210"/>
    </x:row>
    <x:row r="80">
      <x:c r="A80" s="210"/>
      <x:c r="B80" s="210"/>
      <x:c r="C80" s="210"/>
      <x:c r="D80" s="210"/>
      <x:c r="E80" s="210"/>
      <x:c r="F80" s="210"/>
    </x:row>
    <x:row r="81">
      <x:c r="A81" s="210"/>
      <x:c r="B81" s="210"/>
      <x:c r="C81" s="210"/>
      <x:c r="D81" s="210"/>
      <x:c r="E81" s="210"/>
      <x:c r="F81" s="210"/>
    </x:row>
    <x:row r="82">
      <x:c r="A82" s="210"/>
      <x:c r="B82" s="210"/>
      <x:c r="C82" s="210"/>
      <x:c r="D82" s="210"/>
      <x:c r="E82" s="210"/>
      <x:c r="F82" s="210"/>
    </x:row>
    <x:row r="83">
      <x:c r="A83" s="210"/>
      <x:c r="B83" s="210"/>
      <x:c r="C83" s="210"/>
      <x:c r="D83" s="210"/>
      <x:c r="E83" s="210"/>
      <x:c r="F83" s="210"/>
    </x:row>
    <x:row r="84">
      <x:c r="A84" s="210"/>
      <x:c r="B84" s="210"/>
      <x:c r="C84" s="210"/>
      <x:c r="D84" s="210"/>
      <x:c r="E84" s="210"/>
      <x:c r="F84" s="210"/>
    </x:row>
    <x:row r="85">
      <x:c r="A85" s="210"/>
      <x:c r="B85" s="210"/>
      <x:c r="C85" s="210"/>
      <x:c r="D85" s="210"/>
      <x:c r="E85" s="210"/>
      <x:c r="F85" s="210"/>
    </x:row>
    <x:row r="86">
      <x:c r="A86" s="210"/>
      <x:c r="B86" s="210"/>
      <x:c r="C86" s="210"/>
      <x:c r="D86" s="210"/>
      <x:c r="E86" s="210"/>
      <x:c r="F86" s="210"/>
    </x:row>
    <x:row r="87">
      <x:c r="A87" s="210"/>
      <x:c r="B87" s="210"/>
      <x:c r="C87" s="210"/>
      <x:c r="D87" s="210"/>
      <x:c r="E87" s="210"/>
      <x:c r="F87" s="210"/>
    </x:row>
    <x:row r="88">
      <x:c r="A88" s="210"/>
      <x:c r="B88" s="210"/>
      <x:c r="C88" s="210"/>
      <x:c r="D88" s="210"/>
      <x:c r="E88" s="210"/>
      <x:c r="F88" s="210"/>
    </x:row>
    <x:row r="89">
      <x:c r="A89" s="210"/>
      <x:c r="B89" s="210"/>
      <x:c r="C89" s="210"/>
      <x:c r="D89" s="210"/>
      <x:c r="E89" s="210"/>
      <x:c r="F89" s="210"/>
    </x:row>
    <x:row r="90">
      <x:c r="A90" s="210"/>
      <x:c r="B90" s="210"/>
      <x:c r="C90" s="210"/>
      <x:c r="D90" s="210"/>
      <x:c r="E90" s="210"/>
      <x:c r="F90" s="210"/>
    </x:row>
    <x:row r="91">
      <x:c r="A91" s="210"/>
      <x:c r="B91" s="210"/>
      <x:c r="C91" s="210"/>
      <x:c r="D91" s="210"/>
      <x:c r="E91" s="210"/>
      <x:c r="F91" s="210"/>
    </x:row>
    <x:row r="92">
      <x:c r="A92" s="210"/>
      <x:c r="B92" s="210"/>
      <x:c r="C92" s="210"/>
      <x:c r="D92" s="210"/>
      <x:c r="E92" s="210"/>
      <x:c r="F92" s="210"/>
    </x:row>
    <x:row r="93">
      <x:c r="A93" s="210"/>
      <x:c r="B93" s="210"/>
      <x:c r="C93" s="210"/>
      <x:c r="D93" s="210"/>
      <x:c r="E93" s="210"/>
      <x:c r="F93" s="210"/>
    </x:row>
    <x:row r="94">
      <x:c r="A94" s="210"/>
      <x:c r="B94" s="210"/>
      <x:c r="C94" s="210"/>
      <x:c r="D94" s="210"/>
      <x:c r="E94" s="210"/>
      <x:c r="F94" s="210"/>
    </x:row>
    <x:row r="95">
      <x:c r="A95" s="210"/>
      <x:c r="B95" s="210"/>
      <x:c r="C95" s="210"/>
      <x:c r="D95" s="210"/>
      <x:c r="E95" s="210"/>
      <x:c r="F95" s="210"/>
    </x:row>
    <x:row r="96">
      <x:c r="A96" s="210"/>
      <x:c r="B96" s="210"/>
      <x:c r="C96" s="210"/>
      <x:c r="D96" s="210"/>
      <x:c r="E96" s="210"/>
      <x:c r="F96" s="210"/>
    </x:row>
    <x:row r="97">
      <x:c r="A97" s="210"/>
      <x:c r="B97" s="210"/>
      <x:c r="C97" s="210"/>
      <x:c r="D97" s="210"/>
      <x:c r="E97" s="210"/>
      <x:c r="F97" s="210"/>
    </x:row>
    <x:row r="98">
      <x:c r="A98" s="210"/>
      <x:c r="B98" s="210"/>
      <x:c r="C98" s="210"/>
      <x:c r="D98" s="210"/>
      <x:c r="E98" s="210"/>
      <x:c r="F98" s="210"/>
    </x:row>
    <x:row r="99">
      <x:c r="A99" s="210"/>
      <x:c r="B99" s="210"/>
      <x:c r="C99" s="210"/>
      <x:c r="D99" s="210"/>
      <x:c r="E99" s="210"/>
      <x:c r="F99" s="210"/>
    </x:row>
    <x:row r="100">
      <x:c r="A100" s="210"/>
      <x:c r="B100" s="210"/>
      <x:c r="C100" s="210"/>
      <x:c r="D100" s="210"/>
      <x:c r="E100" s="210"/>
      <x:c r="F100" s="210"/>
    </x:row>
  </x:sheetData>
  <x:mergeCells>
    <x:mergeCell ref="A2:F2"/>
    <x:mergeCell ref="A3:F3"/>
    <x:mergeCell ref="A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5:B15"/>
    <x:mergeCell ref="C15:F15"/>
    <x:mergeCell ref="A16:B16"/>
    <x:mergeCell ref="C16:F16"/>
    <x:mergeCell ref="A17:B17"/>
    <x:mergeCell ref="C17:F17"/>
    <x:mergeCell ref="A18:B18"/>
    <x:mergeCell ref="C18:F18"/>
    <x:mergeCell ref="A19:B19"/>
    <x:mergeCell ref="C19:F19"/>
    <x:mergeCell ref="A20:B20"/>
    <x:mergeCell ref="C20:F20"/>
    <x:mergeCell ref="A22:F22"/>
    <x:mergeCell ref="A23:F23"/>
  </x:mergeCells>
  <x:pageMargins left="0.7" right="0.7" top="0.75" bottom="0.75" header="0.3" footer="0.3"/>
</x:worksheet>
</file>