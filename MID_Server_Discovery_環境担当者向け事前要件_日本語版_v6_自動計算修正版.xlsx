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dbf620a89141f1" /></Relationships>
</file>

<file path=xl/workbook.xml><?xml version="1.0" encoding="utf-8"?>
<x:workbook xmlns:x="http://schemas.openxmlformats.org/spreadsheetml/2006/main">
  <x:sheets>
    <x:sheet xmlns:r="http://schemas.openxmlformats.org/officeDocument/2006/relationships" name="01_要件と役割分担" sheetId="1" r:id="R921fedcffbea4f09"/>
    <x:sheet xmlns:r="http://schemas.openxmlformats.org/officeDocument/2006/relationships" name="02_通信要件" sheetId="2" r:id="R0946778e948f46f2"/>
    <x:sheet xmlns:r="http://schemas.openxmlformats.org/officeDocument/2006/relationships" name="03_通信量と概算" sheetId="3" r:id="Rcd716b8bc876447f"/>
  </x:sheets>
</x:workbook>
</file>

<file path=xl/sharedStrings.xml><?xml version="1.0" encoding="utf-8"?>
<x:sst xmlns:x="http://schemas.openxmlformats.org/spreadsheetml/2006/main">
  <x:si>
    <x:t xml:space="preserve">MID Server / Discovery 事前要件と役割分担</x:t>
  </x:si>
  <x:si>
    <x:t xml:space="preserve">対象環境：Housing、Hosting、拠点 LAN。ITOM担当側が技術条件と自社 PoC の通信量を提示し、各環境担当側がリソースの準備、通信許可の申請、内部承認を行う。</x:t>
  </x:si>
  <x:si>
    <x:t xml:space="preserve">ITOM担当側の実施内容：MID の配置・接続、許可範囲内での Discovery によるデータ収集と CMDB 登録結果の確認。ACC を採用する場合は、ACC から MID、Instance までの収集経路を検証する。対象機器と実施日時を明記して承認を申請する。</x:t>
  </x:si>
  <x:si>
    <x:t xml:space="preserve">No.</x:t>
  </x:si>
  <x:si>
    <x:t xml:space="preserve">ITOM担当側の要件</x:t>
  </x:si>
  <x:si>
    <x:t xml:space="preserve">ITOM担当側の提示・担当事項</x:t>
  </x:si>
  <x:si>
    <x:t xml:space="preserve">環境担当側の提示・担当事項</x:t>
  </x:si>
  <x:si>
    <x:t xml:space="preserve">検証内容と許可範囲</x:t>
  </x:si>
  <x:si>
    <x:t xml:space="preserve">対象種別、検証目的、収集内容、予定回数、希望日時を提示する。ServiceNow を設定し、検証を実施する。</x:t>
  </x:si>
  <x:si>
    <x:t xml:space="preserve">機器一覧、IP/CIDR、OS・種別・台数を提示し、読み取り・スキャンの許可範囲と制限を確認する。</x:t>
  </x:si>
  <x:si>
    <x:t xml:space="preserve">MID の稼働リソース</x:t>
  </x:si>
  <x:si>
    <x:t xml:space="preserve">OS、CPU、メモリ、ディスク、バージョンの要件を提示する。
実際の仕様は ITOM担当側が追記する。
MID 製品のインストールと設定を担当する。</x:t>
  </x:si>
  <x:si>
    <x:t xml:space="preserve">ITOM担当側の要件を満たす VM・サーバーを準備する。
実際の IP/FQDN、OS 情報、インストール時のアクセス条件を提示する。</x:t>
  </x:si>
  <x:si>
    <x:t xml:space="preserve">インストールと常駐サービスの権限</x:t>
  </x:si>
  <x:si>
    <x:t xml:space="preserve">インストールパッケージ、サービス稼働要件、必要権限を提示し、ACC の採否を明示する。</x:t>
  </x:si>
  <x:si>
    <x:t xml:space="preserve">承認済みの MID/ACC のインストールと常駐サービスの稼働を許可する。権限を付与するか、権限保有者によるインストール支援を手配する。</x:t>
  </x:si>
  <x:si>
    <x:t xml:space="preserve">MID から Instance</x:t>
  </x:si>
  <x:si>
    <x:t xml:space="preserve">C01：HTTPS/TCP 443。MID から Instance に接続を開始する。
実際の FQDN、認証条件、TLS 条件を提示する。</x:t>
  </x:si>
  <x:si>
    <x:t xml:space="preserve">提示された送信元・宛先の条件に従い、外向き通信の許可を申請する。TLS 検査などの接続制限を回答する。</x:t>
  </x:si>
  <x:si>
    <x:t xml:space="preserve">MID から対象機器</x:t>
  </x:si>
  <x:si>
    <x:t xml:space="preserve">採用方式に応じて C06、C09-C12、C17/C18 のアドレスと宛先ポートを提示する。Windows は WinRM/SMB、Linux は SSH 22、ネットワーク機器は SNMP 161 を使用する。</x:t>
  </x:si>
  <x:si>
    <x:t xml:space="preserve">適用ポートについてネットワーク・ホスト FW の許可を申請し、対象の待受サービスと許可する送信元を確認する。実際に採用する項目のみ対応する。</x:t>
  </x:si>
  <x:si>
    <x:t xml:space="preserve">ACC から MID</x:t>
  </x:si>
  <x:si>
    <x:t xml:space="preserve">C13：WSS/TCP の実際の Listener ポート。8800 はデフォルト値の参考。ITOM/SN 管理者が Listener、backend-url、証明書を設定する。</x:t>
  </x:si>
  <x:si>
    <x:t xml:space="preserve">ITOM担当側が提示する実際のポートで ACC から MID への通信を許可する。ソフトウェアのインストール許可と証明書の信頼設定に関する条件を確認する。</x:t>
  </x:si>
  <x:si>
    <x:t xml:space="preserve">DNS 名前解決</x:t>
  </x:si>
  <x:si>
    <x:t xml:space="preserve">C04/C05：UDP/TCP 53。Instance、MID Listener など、名前解決が必要な FQDN を列挙し、名前解決を検証する。</x:t>
  </x:si>
  <x:si>
    <x:t xml:space="preserve">承認済み DNS のアドレスと利用条件を提示する。該当する名前を解決できる状態とし、DNS 通信の許可を申請する。</x:t>
  </x:si>
  <x:si>
    <x:t xml:space="preserve">対象機器の認証・アクセス権限</x:t>
  </x:si>
  <x:si>
    <x:t xml:space="preserve">Windows：WinRM/SMB に必要な権限。
Linux：SSH アカウント・鍵と Pattern が必要とする sudo 権限。
SNMP：承認済みの読み取り専用認証情報。詳細権限は選定した Pattern に応じて提示する。</x:t>
  </x:si>
  <x:si>
    <x:t xml:space="preserve">承認済みのアカウント、鍵、読み取り権限を提供し、制限される権限は個別に回答する。安全な経路で受け渡し、Excel にパスワード・鍵・Community を記入しない。</x:t>
  </x:si>
  <x:si>
    <x:t xml:space="preserve">ダウンロード・更新・証明書確認</x:t>
  </x:si>
  <x:si>
    <x:t xml:space="preserve">必要な C02/C20 のソフトウェア配布時の接続条件と、C14 の証明書確認先アドレスを明記する。</x:t>
  </x:si>
  <x:si>
    <x:t xml:space="preserve">承認済みのソフトウェア配布、外向き通信、証明書確認の条件を確認し、制限事項を回答する。インターネットへの一律開放や証明書確認の無効化は求めない。</x:t>
  </x:si>
  <x:si>
    <x:t xml:space="preserve">実施回数・頻度・実施可能時間帯</x:t>
  </x:si>
  <x:si>
    <x:t xml:space="preserve">定期 Discovery の実行頻度、ACC Policy/Check の周期、想定継続時間を提示する。採用値は ITOM担当側が記入する。</x:t>
  </x:si>
  <x:si>
    <x:t xml:space="preserve">実施可能日時、機器・回線の制限、内部承認・変更申請の要件を回答する。</x:t>
  </x:si>
  <x:si>
    <x:t xml:space="preserve">通常時の通信量と概算</x:t>
  </x:si>
  <x:si>
    <x:t xml:space="preserve">安定稼働時と定期 Discovery の通信量を実測する。MB/台/日、MB/対象/回、MB/MID/日と台数・頻度に基づく概算を提示し、周期、観測期間、対象通信、エビデンスを明記する。</x:t>
  </x:si>
  <x:si>
    <x:t xml:space="preserve">実際の台数・頻度と評価対象の回線を確認し、受け入れ可否、帯域・時間の制限を回答する。PoC の測定は ITOM担当側が担当する。</x:t>
  </x:si>
  <x:si>
    <x:t xml:space="preserve">スキャンの影響とセキュリティ通知</x:t>
  </x:si>
  <x:si>
    <x:t xml:space="preserve">C17 の許可 IP 範囲、有効化するポート、実施タイミング、テストの送信元を提示する。異常を検知した場合は ITOM担当側のタスクを停止する。</x:t>
  </x:si>
  <x:si>
    <x:t xml:space="preserve">スキャン・IDS などに必要な通知や許可を申請し、異常時の連絡先と現場の制約を提示する。</x:t>
  </x:si>
  <x:si>
    <x:t xml:space="preserve">既存の管理アクセスと OS 基盤条件</x:t>
  </x:si>
  <x:si>
    <x:t xml:space="preserve">検証に必要な管理アクセス、DNS、時刻同期、ドメイン認証への依存関係を明記する。実際に必要な項目のみ提示する。</x:t>
  </x:si>
  <x:si>
    <x:t xml:space="preserve">当該環境で承認済みの管理アクセスと基盤サービスの条件を提示する。具体的なネットワーク・セキュリティの実装方法は環境管理側が担当する。</x:t>
  </x:si>
  <x:si>
    <x:t xml:space="preserve">回答と実施承認</x:t>
  </x:si>
  <x:si>
    <x:t xml:space="preserve">実際のアドレス・ポート、仕様、権限、通常時の通信量を補完して提出する。承認範囲と実施可能時間帯に従って実施し、収集結果を報告する。</x:t>
  </x:si>
  <x:si>
    <x:t xml:space="preserve">各項目について可・条件付き可・不可を回答し、制限、担当者、申請番号、完了予定日を明記する。内部承認を完了する。</x:t>
  </x:si>
  <x:si>
    <x:t xml:space="preserve">参考資料</x:t>
  </x:si>
  <x:si>
    <x:t xml:space="preserve">S1</x:t>
  </x:si>
  <x:si>
    <x:t xml:space="preserve">MID と Instance の接続、MID 製品のダウンロード
ServiceNow：Prepare network connections for MID Servers。
Instance は TCP 443。install.service-now.com はアップグレード用のダウンロード先。顧客環境のバージョンで再確認する。</x:t>
  </x:si>
  <x:si>
    <x:t xml:space="preserve">https://www.servicenow.com/docs/r/ja-JP/servicenow-platform/mid-server/c_MIDServerConnectionPrerequisites.html</x:t>
  </x:si>
  <x:si>
    <x:t xml:space="preserve">S2</x:t>
  </x:si>
  <x:si>
    <x:t xml:space="preserve">スキャン・Discovery のプロトコルとポート
ServiceNow：Ports and protocols for Shazzam。</x:t>
  </x:si>
  <x:si>
    <x:t xml:space="preserve">https://www.servicenow.com/docs/r/it-operations-management/discovery/r_DiscoveryPortsAndProtocols.html</x:t>
  </x:si>
  <x:si>
    <x:t xml:space="preserve">S3</x:t>
  </x:si>
  <x:si>
    <x:t xml:space="preserve">ACC WSS Listener
ServiceNow：Configure the websocket server on the MID Server。
デフォルトの 8800 は変更可能。採用値は ITOM/SN 管理者が提示する。</x:t>
  </x:si>
  <x:si>
    <x:t xml:space="preserve">https://www.servicenow.com/docs/r/it-operations-management/agent-client-collector/acc-configure-web-server.html?contentId=qClaXI6IkUIxGqnzmvU3Cw</x:t>
  </x:si>
  <x:si>
    <x:t xml:space="preserve">S4</x:t>
  </x:si>
  <x:si>
    <x:t xml:space="preserve">DNS と OS の基盤通信
Microsoft Learn：Service overview and network port requirements。
DNS は UDP/TCP 53 を使用する。その他の OS 基盤通信は実際の採用方式に応じて確認する。</x:t>
  </x:si>
  <x:si>
    <x:t xml:space="preserve">https://learn.microsoft.com/en-us/troubleshoot/windows-server/networking/service-overview-and-network-port-requirements</x:t>
  </x:si>
  <x:si>
    <x:t xml:space="preserve">S5</x:t>
  </x:si>
  <x:si>
    <x:t xml:space="preserve">Discovery の設定と認証情報
ServiceNow：Set up Discovery without Guided Setup。
対象 IP、認証情報、MID、スケジュール、検証条件を実際の採用方式に応じて提示する。</x:t>
  </x:si>
  <x:si>
    <x:t xml:space="preserve">https://www.servicenow.com/docs/r/it-operations-management/discovery/t_ConfigureDiscovery.html</x:t>
  </x:si>
  <x:si>
    <x:t xml:space="preserve">S6</x:t>
  </x:si>
  <x:si>
    <x:t xml:space="preserve">Azure VM のネットワーク指標
Microsoft Learn：Virtual machine monitoring data reference。
Network In/Out Total は全 NIC の Bytes。集計は Total(Sum) を使用する。</x:t>
  </x:si>
  <x:si>
    <x:t xml:space="preserve">https://learn.microsoft.com/en-us/azure/virtual-machines/monitor-vm-reference</x:t>
  </x:si>
  <x:si>
    <x:t xml:space="preserve">S7</x:t>
  </x:si>
  <x:si>
    <x:t xml:space="preserve">ACC backend-url
ServiceNow：ACC configuration file options。
acc.yml の backend-url は MID Listener のアドレス・ポートと一致させる。本表への api-key の記入は禁止する。</x:t>
  </x:si>
  <x:si>
    <x:t xml:space="preserve">https://www.servicenow.com/docs/r/it-operations-management/agent-client-collector/acc-yml-options.html</x:t>
  </x:si>
  <x:si>
    <x:t xml:space="preserve">具体的な通信要件</x:t>
  </x:si>
  <x:si>
    <x:t xml:space="preserve">宛先ポートは接続先の待受ポートを示す。通信は送信元から開始し、応答通信は同一セッションとして扱う。実際に採用する項目のみ申請する。C01-C20 は通信量記録と共通の通信 ID とし、参考資料の C 番号とは混同しない。</x:t>
  </x:si>
  <x:si>
    <x:t xml:space="preserve">G 列は ITOM担当側が実際のアドレス・ポート、採用方式、検証エビデンスを提示する。I 列は環境担当側が通信許可の可否、実際のアドレスとの差異、申請番号、完了予定日を回答する。デフォルト値は検証済み・承認済みを意味しない。</x:t>
  </x:si>
  <x:si>
    <x:t xml:space="preserve">通信 ID</x:t>
  </x:si>
  <x:si>
    <x:t xml:space="preserve">適用条件</x:t>
  </x:si>
  <x:si>
    <x:t xml:space="preserve">送信元</x:t>
  </x:si>
  <x:si>
    <x:t xml:space="preserve">宛先</x:t>
  </x:si>
  <x:si>
    <x:t xml:space="preserve">Protocol / 宛先ポート</x:t>
  </x:si>
  <x:si>
    <x:t xml:space="preserve">用途 / 通信の発生タイミング</x:t>
  </x:si>
  <x:si>
    <x:t xml:space="preserve">ITOM担当側の採用値・エビデンス</x:t>
  </x:si>
  <x:si>
    <x:t xml:space="preserve">環境担当側の担当事項</x:t>
  </x:si>
  <x:si>
    <x:t xml:space="preserve">環境担当側の回答 / 申請</x:t>
  </x:si>
  <x:si>
    <x:t xml:space="preserve">根拠</x:t>
  </x:si>
  <x:si>
    <x:t xml:space="preserve">C01</x:t>
  </x:si>
  <x:si>
    <x:t xml:space="preserve">MID の基本通信</x:t>
  </x:si>
  <x:si>
    <x:t xml:space="preserve">MID Server IP</x:t>
  </x:si>
  <x:si>
    <x:t xml:space="preserve">&lt;instance&gt;.service-now.com</x:t>
  </x:si>
  <x:si>
    <x:t xml:space="preserve">HTTPS / TCP 443</x:t>
  </x:si>
  <x:si>
    <x:t xml:space="preserve">タスク取得、ポーリング、結果送信。通常運用時・収集時に発生する。Instance から MID への新規接続は開始しない。</x:t>
  </x:si>
  <x:si>
    <x:t xml:space="preserve">提示待ち：MID IP、実際の Instance FQDN、TLS 条件、検証結果。</x:t>
  </x:si>
  <x:si>
    <x:t xml:space="preserve">該当する外向き通信・ホスト FW の許可を申請する。</x:t>
  </x:si>
  <x:si>
    <x:t xml:space="preserve">S1/S5</x:t>
  </x:si>
  <x:si>
    <x:t xml:space="preserve">C02</x:t>
  </x:si>
  <x:si>
    <x:t xml:space="preserve">製品のダウンロード・更新時</x:t>
  </x:si>
  <x:si>
    <x:t xml:space="preserve">MID Server / 承認済みの配布実行元</x:t>
  </x:si>
  <x:si>
    <x:t xml:space="preserve">install.service-now.com または承認済み配布元</x:t>
  </x:si>
  <x:si>
    <x:t xml:space="preserve">HTTPS / TCP 443（公式の外向き通信の参考）</x:t>
  </x:si>
  <x:si>
    <x:t xml:space="preserve">MID 製品のダウンロード・アップグレード時の接続条件。</x:t>
  </x:si>
  <x:si>
    <x:t xml:space="preserve">提示待ち：実際のダウンロード・配布経路、バージョン、ポート。</x:t>
  </x:si>
  <x:si>
    <x:t xml:space="preserve">承認済みの外向き通信・配布方式を確認し、採用経路の通信を許可する。</x:t>
  </x:si>
  <x:si>
    <x:t xml:space="preserve">C04</x:t>
  </x:si>
  <x:si>
    <x:t xml:space="preserve">MID が FQDN を使用する場合</x:t>
  </x:si>
  <x:si>
    <x:t xml:space="preserve">承認済み DNS の IP</x:t>
  </x:si>
  <x:si>
    <x:t xml:space="preserve">UDP 53 / TCP 53</x:t>
  </x:si>
  <x:si>
    <x:t xml:space="preserve">Instance、対象機器などの名前を解決する。MID が SaaS にアクセスする際も、該当する名前解決が必要。</x:t>
  </x:si>
  <x:si>
    <x:t xml:space="preserve">提示待ち：名前解決が必要な FQDN、使用 DNS、名前解決の検証結果。</x:t>
  </x:si>
  <x:si>
    <x:t xml:space="preserve">DNS、名前解決条件、必要なアクセス許可を提供する。</x:t>
  </x:si>
  <x:si>
    <x:t xml:space="preserve">C05</x:t>
  </x:si>
  <x:si>
    <x:t xml:space="preserve">ACC が MID の FQDN を使用する場合</x:t>
  </x:si>
  <x:si>
    <x:t xml:space="preserve">ACC 対象 VM の IP</x:t>
  </x:si>
  <x:si>
    <x:t xml:space="preserve">MID Listener の FQDN を解決する。IP を使用する場合、この用途の名前解決は不要となる場合がある。</x:t>
  </x:si>
  <x:si>
    <x:t xml:space="preserve">提示待ち：backend-url 内の MID 名と名前解決結果。</x:t>
  </x:si>
  <x:si>
    <x:t xml:space="preserve">該当 FQDN が名前解決できる状態とし、DNS 通信の許可を申請する。</x:t>
  </x:si>
  <x:si>
    <x:t xml:space="preserve">S4/S7</x:t>
  </x:si>
  <x:si>
    <x:t xml:space="preserve">C06</x:t>
  </x:si>
  <x:si>
    <x:t xml:space="preserve">Linux/Unix の SSH Discovery</x:t>
  </x:si>
  <x:si>
    <x:t xml:space="preserve">Linux/Unix 対象 IP</x:t>
  </x:si>
  <x:si>
    <x:t xml:space="preserve">SSH / TCP 22（参考）</x:t>
  </x:si>
  <x:si>
    <x:t xml:space="preserve">認証後、OS、ハードウェア、ソフトウェア、構成情報を読み取る。スケジュールに従って実行する。標準以外の SSH ポートは別途明記する。</x:t>
  </x:si>
  <x:si>
    <x:t xml:space="preserve">提示待ち：対象 IP、実際の SSH ポート、アカウント権限、実行頻度。</x:t>
  </x:si>
  <x:si>
    <x:t xml:space="preserve">対象へのアクセス・ホスト FW の許可を申請し、承認済み SSH/sudo 権限を準備する。</x:t>
  </x:si>
  <x:si>
    <x:t xml:space="preserve">S2/S5</x:t>
  </x:si>
  <x:si>
    <x:t xml:space="preserve">C09</x:t>
  </x:si>
  <x:si>
    <x:t xml:space="preserve">選定した Windows 収集処理に SMB が必要な場合</x:t>
  </x:si>
  <x:si>
    <x:t xml:space="preserve">Windows 対象 IP</x:t>
  </x:si>
  <x:si>
    <x:t xml:space="preserve">SMB / TCP 445</x:t>
  </x:si>
  <x:si>
    <x:t xml:space="preserve">関連 Pattern/Probe、ファイル・コマンドへのアクセスで必要な場合に使用する。WinRM に変更しても、SMB が不要になるとは限らない。</x:t>
  </x:si>
  <x:si>
    <x:t xml:space="preserve">提示待ち：選定した Discovery での必要性、対象、権限。</x:t>
  </x:si>
  <x:si>
    <x:t xml:space="preserve">必要な対象のみ通信許可を申請し、SMB 権限を確認する。</x:t>
  </x:si>
  <x:si>
    <x:t xml:space="preserve">S2/S4</x:t>
  </x:si>
  <x:si>
    <x:t xml:space="preserve">C10</x:t>
  </x:si>
  <x:si>
    <x:t xml:space="preserve">WinRM HTTPS を採用する場合</x:t>
  </x:si>
  <x:si>
    <x:t xml:space="preserve">WinRM HTTPS / TCP 5986（参考）</x:t>
  </x:si>
  <x:si>
    <x:t xml:space="preserve">リモートで情報を読み取る。Listener、証明書、信頼設定は実際の有効設定に従う。すべての Windows で必須ではない。</x:t>
  </x:si>
  <x:si>
    <x:t xml:space="preserve">提示待ち：WinRM/TLS の実際の設定、対象・ポート、検証結果。</x:t>
  </x:si>
  <x:si>
    <x:t xml:space="preserve">Listener、証明書の配備条件、アクセス許可を確認する。</x:t>
  </x:si>
  <x:si>
    <x:t xml:space="preserve">C11</x:t>
  </x:si>
  <x:si>
    <x:t xml:space="preserve">WinRM HTTP を採用する場合</x:t>
  </x:si>
  <x:si>
    <x:t xml:space="preserve">WinRM HTTP / TCP 5985（参考）</x:t>
  </x:si>
  <x:si>
    <x:t xml:space="preserve">採用し、セキュリティ承認を得た場合のみ使用する。C10/C11 の両方を必須開放とはしない。</x:t>
  </x:si>
  <x:si>
    <x:t xml:space="preserve">提示待ち：採否、保護方式、実際のポート、検証結果。</x:t>
  </x:si>
  <x:si>
    <x:t xml:space="preserve">採用方式を審査し、承認条件に従ってアクセス許可を申請する。</x:t>
  </x:si>
  <x:si>
    <x:t xml:space="preserve">C12</x:t>
  </x:si>
  <x:si>
    <x:t xml:space="preserve">ネットワーク機器の SNMP Discovery</x:t>
  </x:si>
  <x:si>
    <x:t xml:space="preserve">ネットワーク機器の管理 IP</x:t>
  </x:si>
  <x:si>
    <x:t xml:space="preserve">SNMP / UDP 161（参考）</x:t>
  </x:si>
  <x:si>
    <x:t xml:space="preserve">機器情報を読み取る。読み取り専用・v3 などの承認済み認証情報を使用する。Trap 162 は本行のポーリングには含まない。</x:t>
  </x:si>
  <x:si>
    <x:t xml:space="preserve">提示待ち：機器範囲、実際のポート、SNMP バージョン、頻度。</x:t>
  </x:si>
  <x:si>
    <x:t xml:space="preserve">承認済み MID から管理インターフェースへのアクセスを許可し、読み取り専用の認証条件を準備する。</x:t>
  </x:si>
  <x:si>
    <x:t xml:space="preserve">C13</x:t>
  </x:si>
  <x:si>
    <x:t xml:space="preserve">ACC を採用する場合</x:t>
  </x:si>
  <x:si>
    <x:t xml:space="preserve">MID Listener IP/FQDN</x:t>
  </x:si>
  <x:si>
    <x:t xml:space="preserve">WSS / TCP &lt;実際の Listener ポート&gt;
デフォルト参考値 8800</x:t>
  </x:si>
  <x:si>
    <x:t xml:space="preserve">ACC から MID WebSocket Listener に接続を開始し、データを送信する。通常運用時・Policy に基づく収集時に発生する。</x:t>
  </x:si>
  <x:si>
    <x:t xml:space="preserve">ITOM/SN 管理者が設定する。実際の wss://&lt;MID&gt;:&lt;port&gt;/ws/events、証明書、単体 PoC のエビデンスを記入する。</x:t>
  </x:si>
  <x:si>
    <x:t xml:space="preserve">実際のポートで ACC から MID への通信を許可し、証明書の信頼設定・接続検証に協力する。</x:t>
  </x:si>
  <x:si>
    <x:t xml:space="preserve">S3/S7</x:t>
  </x:si>
  <x:si>
    <x:t xml:space="preserve">C14</x:t>
  </x:si>
  <x:si>
    <x:t xml:space="preserve">証明書確認で実際に必要な場合</x:t>
  </x:si>
  <x:si>
    <x:t xml:space="preserve">MID / インストール環境</x:t>
  </x:si>
  <x:si>
    <x:t xml:space="preserve">実際の OCSP/CRL などの URL</x:t>
  </x:si>
  <x:si>
    <x:t xml:space="preserve">HTTP TCP 80 / HTTPS TCP 443 などの実際の値</x:t>
  </x:si>
  <x:si>
    <x:t xml:space="preserve">TLS 証明書の有効性を確認する。宛先ドメインは証明書チェーンと実際のログに基づいて確認する。</x:t>
  </x:si>
  <x:si>
    <x:t xml:space="preserve">提示待ち：具体的なドメイン、ポート、証明書チェーン、必要性を示すログ。</x:t>
  </x:si>
  <x:si>
    <x:t xml:space="preserve">該当する宛先へのアクセス許可を申請するか、企業の証明書管理方式を回答する。</x:t>
  </x:si>
  <x:si>
    <x:t xml:space="preserve">C15</x:t>
  </x:si>
  <x:si>
    <x:t xml:space="preserve">既存 OS の時刻同期</x:t>
  </x:si>
  <x:si>
    <x:t xml:space="preserve">MID / 対象ホスト</x:t>
  </x:si>
  <x:si>
    <x:t xml:space="preserve">承認済み時刻同期元</x:t>
  </x:si>
  <x:si>
    <x:t xml:space="preserve">NTP UDP 123 などの実際の方式</x:t>
  </x:si>
  <x:si>
    <x:t xml:space="preserve">OS の時刻を維持する。基盤環境への依存であり、すべての導入で新規に必要な ITOM 専用ポートではない。</x:t>
  </x:si>
  <x:si>
    <x:t xml:space="preserve">提示待ち：テストに必要な既存の時刻同期条件。</x:t>
  </x:si>
  <x:si>
    <x:t xml:space="preserve">既存の時刻同期が利用可能であることを確認する。通信の追加は実際の方式に応じて対応する。</x:t>
  </x:si>
  <x:si>
    <x:t xml:space="preserve">C16</x:t>
  </x:si>
  <x:si>
    <x:t xml:space="preserve">ドメイン認証を採用する場合</x:t>
  </x:si>
  <x:si>
    <x:t xml:space="preserve">MID / Windows 対象</x:t>
  </x:si>
  <x:si>
    <x:t xml:space="preserve">実際のドメインサービス</x:t>
  </x:si>
  <x:si>
    <x:t xml:space="preserve">LDAP/Kerberos/RPC などの採用ポート</x:t>
  </x:si>
  <x:si>
    <x:t xml:space="preserve">ドメイン認証・基盤サービス。既存の AD 通信標準に基づき個別に列挙し、一律に全開放しない。</x:t>
  </x:si>
  <x:si>
    <x:t xml:space="preserve">提示待ち：採用するドメイン認証方式と必要な依存通信。</x:t>
  </x:si>
  <x:si>
    <x:t xml:space="preserve">承認済み AD 接続と既存の通信条件を確認する。</x:t>
  </x:si>
  <x:si>
    <x:t xml:space="preserve">C17</x:t>
  </x:si>
  <x:si>
    <x:t xml:space="preserve">IP 範囲のスキャン・分類</x:t>
  </x:si>
  <x:si>
    <x:t xml:space="preserve">承認済み対象 IP/CIDR</x:t>
  </x:si>
  <x:si>
    <x:t xml:space="preserve">有効化する Port Probe の TCP/UDP ポート</x:t>
  </x:si>
  <x:si>
    <x:t xml:space="preserve">Discovery 開始段階の探査。実際に有効化した 22/161/80/443 などを使用する。範囲とポートは ITOM担当側が明記する。</x:t>
  </x:si>
  <x:si>
    <x:t xml:space="preserve">提示待ち：許可 CIDR、有効化する Probe、スキャンポート、回数・実施可能時間帯。</x:t>
  </x:si>
  <x:si>
    <x:t xml:space="preserve">スキャン・IDS に必要な通知を行い、許可対象と実施条件を確認する。</x:t>
  </x:si>
  <x:si>
    <x:t xml:space="preserve">C18</x:t>
  </x:si>
  <x:si>
    <x:t xml:space="preserve">選定したアプリ・機器の収集処理で必要な場合</x:t>
  </x:si>
  <x:si>
    <x:t xml:space="preserve">実際の Pattern/API 対象</x:t>
  </x:si>
  <x:si>
    <x:t xml:space="preserve">TCP/UDP &lt;個別の採用ポート&gt;</x:t>
  </x:si>
  <x:si>
    <x:t xml:space="preserve">追加のアプリ、DB、仮想化対象。選定した収集処理で実際に必要な場合のみ追加する。</x:t>
  </x:si>
  <x:si>
    <x:t xml:space="preserve">提示待ち：対象・Pattern と個別ポート。SQL 1433 などの例は、デフォルトで全開放する一覧ではない。</x:t>
  </x:si>
  <x:si>
    <x:t xml:space="preserve">明記された対象と採用ポートのみ承認を申請する。</x:t>
  </x:si>
  <x:si>
    <x:t xml:space="preserve">C19</x:t>
  </x:si>
  <x:si>
    <x:t xml:space="preserve">製品のインストール・検証時の管理アクセス</x:t>
  </x:si>
  <x:si>
    <x:t xml:space="preserve">承認済み管理操作元</x:t>
  </x:si>
  <x:si>
    <x:t xml:space="preserve">RDP TCP 3389 / SSH TCP 22 などの実際の値</x:t>
  </x:si>
  <x:si>
    <x:t xml:space="preserve">管理操作用であり、Discovery のデータ収集ポートではない。環境で承認済みの管理方式を使用する。</x:t>
  </x:si>
  <x:si>
    <x:t xml:space="preserve">提示待ち：必要な操作と管理アクセス条件。</x:t>
  </x:si>
  <x:si>
    <x:t xml:space="preserve">承認済み管理アクセスを提供または手配する。インターネットからの直接接続は求めない。</x:t>
  </x:si>
  <x:si>
    <x:t xml:space="preserve">C20</x:t>
  </x:si>
  <x:si>
    <x:t xml:space="preserve">ACC/OS のインストール・更新</x:t>
  </x:si>
  <x:si>
    <x:t xml:space="preserve">実際のダウンロード・配布実行元</x:t>
  </x:si>
  <x:si>
    <x:t xml:space="preserve">承認済みソフトウェア配布元・配布先</x:t>
  </x:si>
  <x:si>
    <x:t xml:space="preserve">実際の配布プロトコル・ポート</x:t>
  </x:si>
  <x:si>
    <x:t xml:space="preserve">ソフトウェア配布時の接続。実際の配布方向に応じて通信条件を決定する。</x:t>
  </x:si>
  <x:si>
    <x:t xml:space="preserve">提示待ち：ダウンロード・配布経路、方向、タイミング。</x:t>
  </x:si>
  <x:si>
    <x:t xml:space="preserve">承認済み配布方式と権限を確認し、必要なアクセス許可を申請する。</x:t>
  </x:si>
  <x:si>
    <x:t xml:space="preserve">実際の配布方式</x:t>
  </x:si>
  <x:si>
    <x:t xml:space="preserve">Windows の WinRM、SMB は実際に選定した方式に応じて組み合わせる。すべての候補ポートの一括開放は求めない。スキャン用ポートと認証後の収集用ポートは分けて説明する。具体的な条件は ITOM担当側が実際の Pattern/Probe と OS 設定に基づき補完する。</x:t>
  </x:si>
  <x:si>
    <x:t xml:space="preserve">C01 は MID から Instance への宛先通信を示す。ACC から MID への受信 Listener と、Instance から MID への新規受信接続がないことは、異なる通信方向の説明である。通信量には観測側を明記し、二重計上を避ける。</x:t>
  </x:si>
  <x:si>
    <x:t xml:space="preserve">公式資料 S1-S5、S7 の参照先は 01_要件と役割分担 に記載する。各環境の FW/NSG、ルーティング、DNS の具体的な設定方法は、それぞれの管理側が決定する。</x:t>
  </x:si>
  <x:si>
    <x:t xml:space="preserve">通常運用時の通信量と概算</x:t>
  </x:si>
  <x:si>
    <x:t xml:space="preserve">ITOM担当側が安定稼働時と定期 Discovery の通信量を提示する。ACC から MID と MID から Instance は分けて扱う。単位：1 MB = 1,000,000 Bytes、1 GB = 1,000,000,000 Bytes。</x:t>
  </x:si>
  <x:si>
    <x:t xml:space="preserve">ACC 1台の収集経路のテストは完了しているが、特定経路に対応する元の Bytes、測定期間、収集周期は未提示。正式な日次通信量は実測後に確定する。未測定値は 0 として扱わない。</x:t>
  </x:si>
  <x:si>
    <x:t xml:space="preserve">下部の実測記録の入力後、E が原単位を参照する。上部の F に適用数量、G に1日あたり実行回数を記入する（日単位は 1）。H = E×F×G、I = H×8÷86,400。M が「VM全体の値」の記録は対象通信が未分離のため、正式な経路別概算には使用しない。</x:t>
  </x:si>
  <x:si>
    <x:t xml:space="preserve">通信経路</x:t>
  </x:si>
  <x:si>
    <x:t xml:space="preserve">通常時の収集 / 原単位</x:t>
  </x:si>
  <x:si>
    <x:t xml:space="preserve">実測記録 ID</x:t>
  </x:si>
  <x:si>
    <x:t xml:space="preserve">実測原単位 MB</x:t>
  </x:si>
  <x:si>
    <x:t xml:space="preserve">適用数量
台 / IP</x:t>
  </x:si>
  <x:si>
    <x:t xml:space="preserve">実行回数/日
日単位の場合は 1</x:t>
  </x:si>
  <x:si>
    <x:t xml:space="preserve">1日あたり概算
MB/日</x:t>
  </x:si>
  <x:si>
    <x:t xml:space="preserve">日平均 Mbps
ピーク値ではない</x:t>
  </x:si>
  <x:si>
    <x:t xml:space="preserve">適用条件 / 環境担当側の回答</x:t>
  </x:si>
  <x:si>
    <x:t xml:space="preserve">通常運用
MB/ACC/日</x:t>
  </x:si>
  <x:si>
    <x:t xml:space="preserve">L02</x:t>
  </x:si>
  <x:si>
    <x:t xml:space="preserve">安定稼働の観測期間全体を対象とする。Policy/Check 周期と再接続の有無を明記する。</x:t>
  </x:si>
  <x:si>
    <x:t xml:space="preserve">通常運用
MB/MID/日</x:t>
  </x:si>
  <x:si>
    <x:t xml:space="preserve">L04</x:t>
  </x:si>
  <x:si>
    <x:t xml:space="preserve">MID 単位の原単位を使用する。ACC 台数に応じた単純な比例計算はできない。</x:t>
  </x:si>
  <x:si>
    <x:t xml:space="preserve">C09-C11</x:t>
  </x:si>
  <x:si>
    <x:t xml:space="preserve">MID から Windows（実際の採用方式）</x:t>
  </x:si>
  <x:si>
    <x:t xml:space="preserve">定期 Discovery
MB/対象/回</x:t>
  </x:si>
  <x:si>
    <x:t xml:space="preserve">L06</x:t>
  </x:si>
  <x:si>
    <x:t xml:space="preserve">使用した WinRM/SMB を記録する。通常のスケジュール実行回数で換算する。</x:t>
  </x:si>
  <x:si>
    <x:t xml:space="preserve">MID から Linux/Unix</x:t>
  </x:si>
  <x:si>
    <x:t xml:space="preserve">L08</x:t>
  </x:si>
  <x:si>
    <x:t xml:space="preserve">通常の Pattern、対象、実行頻度に基づいて実測する。</x:t>
  </x:si>
  <x:si>
    <x:t xml:space="preserve">MID からネットワーク機器</x:t>
  </x:si>
  <x:si>
    <x:t xml:space="preserve">定期 Discovery
MB/機器/回</x:t>
  </x:si>
  <x:si>
    <x:t xml:space="preserve">L10</x:t>
  </x:si>
  <x:si>
    <x:t xml:space="preserve">機器種別、SNMP の収集内容、通常のスケジュール実行回数に基づいて実測する。</x:t>
  </x:si>
  <x:si>
    <x:t xml:space="preserve">C04/C05</x:t>
  </x:si>
  <x:si>
    <x:t xml:space="preserve">DNS（採用する名前解決経路）</x:t>
  </x:si>
  <x:si>
    <x:t xml:space="preserve">通常運用
MB/観測ホスト/日</x:t>
  </x:si>
  <x:si>
    <x:t xml:space="preserve">L14</x:t>
  </x:si>
  <x:si>
    <x:t xml:space="preserve">DNS を個別に評価する必要がある場合に使用する。DNS を含む VM 全体の通信量と重複加算しない。</x:t>
  </x:si>
  <x:si>
    <x:t xml:space="preserve">MID から承認済みスキャン範囲</x:t>
  </x:si>
  <x:si>
    <x:t xml:space="preserve">定期スキャン
MB/測定対象IP/回</x:t>
  </x:si>
  <x:si>
    <x:t xml:space="preserve">L15</x:t>
  </x:si>
  <x:si>
    <x:t xml:space="preserve">通常のスケジュールに範囲スキャンが含まれる場合に計上する。同一 Discovery の測定値に含まれるスキャンと重複しないようにする。</x:t>
  </x:si>
  <x:si>
    <x:t xml:space="preserve">通常時の通信量の算定条件と環境担当側の確認</x:t>
  </x:si>
  <x:si>
    <x:t xml:space="preserve">H は通常時の1日あたり概算 MB。ACC/MID は日単位の原単位に数量を乗じる。定期 Discovery は1回あたり通信量に台数と1日あたり回数を乗じる。週1回の場合、G に =1/7 を入力して日平均を算出できるが、毎日同じ通信量が発生する意味ではない。</x:t>
  </x:si>
  <x:si>
    <x:t xml:space="preserve">MB/MID/日には、その MID のポーリングと実際の処理負荷が含まれる。ACC 台数やタスク同時実行数により変動するため、ACC 1台の基準を MID の固定日次通信量として扱わない。実際の通常負荷で測定する。</x:t>
  </x:si>
  <x:si>
    <x:t xml:space="preserve">日平均 Mbps = 1日あたり MB × 8 ÷ 86,400。ピーク値を示すものではない。環境担当側から要求があれば、ITOM担当側が通常収集時の通信速度を一定間隔で実測して別途提示する。</x:t>
  </x:si>
  <x:si>
    <x:t xml:space="preserve">環境担当側の回答事項：実際の機器・ACC・MID の数量、実行頻度、評価対象の回線、受け入れ可否、帯域・時間の制限、現場との差異。ITOM担当側は実測値と概算を提示し、環境担当側に代わって回線・ルーティング・リソース配置方式を選定しない。</x:t>
  </x:si>
  <x:si>
    <x:t xml:space="preserve">ACC VM と MID VM の全体送受信量を単純合算しない。同一経路の両端で二重計上になる。C13（内部）と C01（外向き）も、評価対象の回線ごとに分けて提示する。定期スキャンが Discovery の測定量に含まれている場合は追加計上しない。</x:t>
  </x:si>
  <x:si>
    <x:t xml:space="preserve">参考：S6 Azure VM のネットワーク指標。計算・記録方法は「Discovery_通信要件・通信量整理表.xlsx」の「通信量見積」「測定記録」を参考とした。通常時の通信量は ITOM担当側が安定稼働期間に実測して提示する。</x:t>
  </x:si>
  <x:si>
    <x:t xml:space="preserve">通常運用時の PoC 実測記録（白背景：手入力、薄灰背景：自動計算）</x:t>
  </x:si>
  <x:si>
    <x:t xml:space="preserve">安定稼働期間の受信・送信 Bytes の合計を記録する。Azure Metrics は同一 Scope、固定した開始・終了日時で Network In/Out Total の Sum を使用する。累積カウンターは先に差分を算出し、I/J に記入する。</x:t>
  </x:si>
  <x:si>
    <x:t xml:space="preserve">PoC のバージョン・設定：ACC、MID、Instance のバージョン、OS、Policy/Check の名称・周期、backend-url の実際のポート、TLS 条件。ITOM担当側が記入する（api-key やパスワードは記入しない）。</x:t>
  </x:si>
  <x:si>
    <x:t xml:space="preserve">観測範囲：片側で対象 IP・ポートの通信を識別する方法を優先する。Azure VM の Network In/Out Total は全 NIC とその他の通信を含む。VM 指標のみの場合は M で「VM全体の値」を選ぶ。K/L では全体量を計算できるが、上部の正式な経路別概算には使用しない。</x:t>
  </x:si>
  <x:si>
    <x:t xml:space="preserve">下表の G は実測した ACC・MID・機器の台数または IP 数。H35/H36/H40 は E/F から観測日数を自動計算する。H37:H39/H41 は実際の実行回数を手入力する。E/F は実際の測定日時を日付と時刻で入力し、終了を開始より後にする。</x:t>
  </x:si>
  <x:si>
    <x:t xml:space="preserve">収集経路が安定した後、少なくとも収集周期全体を含む期間を測定する。定期 Discovery は通常スケジュールの収集量・回数を記録する。エビデンス、設定、成功・失敗、再試行の記録は別途保管する。M は測定値が対象通信に対応するかを選択する欄。</x:t>
  </x:si>
  <x:si>
    <x:t xml:space="preserve">記録 ID</x:t>
  </x:si>
  <x:si>
    <x:t xml:space="preserve">通常時の収集区分</x:t>
  </x:si>
  <x:si>
    <x:t xml:space="preserve">片側の観測対象 / 測定範囲</x:t>
  </x:si>
  <x:si>
    <x:t xml:space="preserve">開始日時 JST</x:t>
  </x:si>
  <x:si>
    <x:t xml:space="preserve">終了日時 JST</x:t>
  </x:si>
  <x:si>
    <x:t xml:space="preserve">台数 / IP数</x:t>
  </x:si>
  <x:si>
    <x:t xml:space="preserve">回数 / 観測日数</x:t>
  </x:si>
  <x:si>
    <x:t xml:space="preserve">受信 Bytes
期間合計</x:t>
  </x:si>
  <x:si>
    <x:t xml:space="preserve">送信 Bytes
期間合計</x:t>
  </x:si>
  <x:si>
    <x:t xml:space="preserve">合計 MB</x:t>
  </x:si>
  <x:si>
    <x:t xml:space="preserve">原単位 MB
台/回または日単位</x:t>
  </x:si>
  <x:si>
    <x:t xml:space="preserve">対象通信の確認</x:t>
  </x:si>
  <x:si>
    <x:t xml:space="preserve">通常運用</x:t>
  </x:si>
  <x:si>
    <x:t xml:space="preserve">未測定</x:t>
  </x:si>
  <x:si>
    <x:t xml:space="preserve">定期 Discovery</x:t>
  </x:si>
  <x:si>
    <x:t xml:space="preserve">定期スキャン</x:t>
  </x:si>
  <x:si>
    <x:t xml:space="preserve">ITOM担当側の通常時の通信量測定・記入要点</x:t>
  </x:si>
  <x:si>
    <x:t xml:space="preserve">1. Azure Portal で ACC VM、MID VM それぞれの Monitoring / Metrics を開く。安定稼働の同一期間とタイムゾーンを固定し、Network In Total、Network Out Total を選択する。集計は Sum / Total とし、元の Bytes を保存する。</x:t>
  </x:si>
  <x:si>
    <x:t xml:space="preserve">2. 期間集計をエクスポートするか、画面のエビデンスを保存する。全 NIC の指標は VM 全体の通信量のみを示す。対象通信を識別できるログがある場合は、C13/C01 の IP・ポート、片側、同一期間の条件で抽出する。NIC 指標で ACC 通信だけが自動抽出されたとは説明しない。</x:t>
  </x:si>
  <x:si>
    <x:t xml:space="preserve">3. 代表的な安定した通常運用期間を選び、収集周期全体を含め、通常のスケジュール実行・再試行を記録する。背景通信を分離できない場合は「VM全体の値」のままとする。背景通信量の差し引きには別途測定したエビデンスが必要で、推定値であることを明記する。</x:t>
  </x:si>
  <x:si>
    <x:t xml:space="preserve">4. I/J に同一期間・同一観測範囲の受信・送信 Bytes を数値で入力する（MB や Mbps ではない）。K=(I+J)/1,000,000、L=K÷G÷H は自動計算する。未測定の方向は空欄とし、0 と推定しない。実測で 0 と確認した場合のみ 0 を入力する。</x:t>
  </x:si>
  <x:si>
    <x:t xml:space="preserve">5. 収集成功、再試行、バージョン、周期、期間、エビデンスを確認し、対象通信を特定できた場合のみ M で「対象通信を確認済み」を選ぶ。VM 全体値しかない場合は「VM全体の値」のままとする。上部 F/G を入力すると、採用可能な原単位から日次概算を自動計算する。</x:t>
  </x:si>
</x:sst>
</file>

<file path=xl/styles.xml><?xml version="1.0" encoding="utf-8"?>
<x:styleSheet xmlns:x="http://schemas.openxmlformats.org/spreadsheetml/2006/main">
  <x:numFmts count="8">
    <x:numFmt numFmtId="176" formatCode="#,##0.000"/>
    <x:numFmt numFmtId="177" formatCode="0.000000"/>
    <x:numFmt numFmtId="178" formatCode="yyyy\-mm\-dd\ hh:mm"/>
    <x:numFmt numFmtId="179" formatCode="0.000"/>
    <x:numFmt numFmtId="200" formatCode="yyyy-mm-dd hh:mm"/>
    <x:numFmt numFmtId="201" formatCode="#,##0"/>
    <x:numFmt numFmtId="202" formatCode="#,##0.000000"/>
    <x:numFmt numFmtId="203" formatCode="0.00000000"/>
  </x:numFmts>
  <x:fonts count="8">
    <x:font>
      <x:sz val="11"/>
      <x:name val="Carlito"/>
    </x:font>
    <x:font>
      <x:sz val="10"/>
      <x:color rgb="FF222222"/>
      <x:name val="Microsoft YaHei"/>
    </x:font>
    <x:font>
      <x:b/>
      <x:sz val="14"/>
      <x:color rgb="FF222222"/>
      <x:name val="Microsoft YaHei"/>
    </x:font>
    <x:font>
      <x:b/>
      <x:sz val="10"/>
      <x:color rgb="FFFFFFFF"/>
      <x:name val="Microsoft YaHei"/>
    </x:font>
    <x:font>
      <x:b/>
      <x:sz val="10"/>
      <x:color rgb="FF222222"/>
      <x:name val="Microsoft YaHei"/>
    </x:font>
    <x:font>
      <x:sz val="11"/>
      <x:name val="Carlito"/>
    </x:font>
    <x:font>
      <x:sz val="6"/>
      <x:name val="ＭＳ Ｐゴシック"/>
    </x:font>
    <x:font>
      <x:sz val="10"/>
      <x:color rgb="FF222222"/>
      <x:name val="Microsoft YaHei"/>
    </x:font>
  </x:fonts>
  <x:fills count="8">
    <x:fill>
      <x:patternFill patternType="none"/>
    </x:fill>
    <x:fill>
      <x:patternFill patternType="gray125"/>
    </x:fill>
    <x:fill>
      <x:patternFill patternType="solid">
        <x:fgColor rgb="FFFFFFFF"/>
      </x:patternFill>
    </x:fill>
    <x:fill>
      <x:patternFill patternType="solid">
        <x:fgColor rgb="FFF2F2F2"/>
      </x:patternFill>
    </x:fill>
    <x:fill>
      <x:patternFill patternType="solid">
        <x:fgColor rgb="FF444444"/>
      </x:patternFill>
    </x:fill>
    <x:fill>
      <x:patternFill patternType="solid">
        <x:fgColor rgb="FFE5E5E5"/>
      </x:patternFill>
    </x:fill>
    <x:fill>
      <x:patternFill patternType="solid">
        <x:fgColor rgb="FFFFFFFF"/>
      </x:patternFill>
    </x:fill>
    <x:fill>
      <x:patternFill patternType="solid">
        <x:fgColor rgb="FFE6E6E6"/>
      </x:patternFill>
    </x:fill>
  </x:fills>
  <x:borders count="14">
    <x:border/>
    <x:border>
      <x:bottom style="thin">
        <x:color rgb="FF888888"/>
      </x:bottom>
    </x:border>
    <x:border>
      <x:left style="thin">
        <x:color indexed="64"/>
      </x:left>
      <x:right style="thin">
        <x:color indexed="64"/>
      </x:right>
      <x:top style="thin">
        <x:color indexed="64"/>
      </x:top>
      <x:bottom style="thin">
        <x:color indexed="64"/>
      </x:bottom>
    </x:border>
    <x:border>
      <x:right style="thin">
        <x:color rgb="FFFFFFFF"/>
      </x:right>
    </x:border>
    <x:border>
      <x:left style="thin">
        <x:color rgb="FFFFFFFF"/>
      </x:left>
      <x:right style="thin">
        <x:color rgb="FFFFFFFF"/>
      </x:right>
    </x:border>
    <x:border>
      <x:left style="thin">
        <x:color rgb="FFFFFFFF"/>
      </x:left>
    </x:border>
    <x:border>
      <x:right style="thin">
        <x:color indexed="64"/>
      </x:right>
      <x:bottom style="thin">
        <x:color indexed="64"/>
      </x:bottom>
    </x:border>
    <x:border>
      <x:left style="thin">
        <x:color indexed="64"/>
      </x:left>
      <x:right style="thin">
        <x:color indexed="64"/>
      </x:right>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right style="thin">
        <x:color indexed="64"/>
      </x:right>
      <x:top style="thin">
        <x:color indexed="64"/>
      </x:top>
    </x:border>
    <x:border>
      <x:left style="thin">
        <x:color indexed="64"/>
      </x:left>
      <x:bottom style="thin">
        <x:color indexed="64"/>
      </x:bottom>
    </x:border>
    <x:border>
      <x:left style="thin">
        <x:color indexed="64"/>
      </x:left>
      <x:top style="thin">
        <x:color indexed="64"/>
      </x:top>
      <x:bottom style="thin">
        <x:color indexed="64"/>
      </x:bottom>
    </x:border>
    <x:border>
      <x:left style="thin">
        <x:color indexed="64"/>
      </x:left>
      <x:top style="thin">
        <x:color indexed="64"/>
      </x:top>
    </x:border>
  </x:borders>
  <x:cellStyleXfs count="2">
    <x:xf numFmtId="0" fontId="0" fillId="0" borderId="0"/>
    <x:xf numFmtId="0" fontId="5" fillId="0" borderId="0"/>
  </x:cellStyleXfs>
  <x:cellXfs count="78">
    <x:xf numFmtId="0" fontId="0" fillId="0" borderId="0" xfId="0"/>
    <x:xf numFmtId="0" fontId="1" fillId="2" borderId="0" xfId="1" applyFont="1" applyFill="1" applyAlignment="1">
      <x:alignment vertical="center" wrapText="1"/>
    </x:xf>
    <x:xf numFmtId="0" fontId="3" fillId="4" borderId="3" xfId="1" applyFont="1" applyFill="1" applyBorder="1" applyAlignment="1">
      <x:alignment horizontal="center" vertical="center" wrapText="1"/>
    </x:xf>
    <x:xf numFmtId="0" fontId="3" fillId="4" borderId="4" xfId="1" applyFont="1" applyFill="1" applyBorder="1" applyAlignment="1">
      <x:alignment horizontal="center" vertical="center" wrapText="1"/>
    </x:xf>
    <x:xf numFmtId="0" fontId="3" fillId="4" borderId="5" xfId="1" applyFont="1" applyFill="1" applyBorder="1" applyAlignment="1">
      <x:alignment horizontal="center" vertical="center" wrapText="1"/>
    </x:xf>
    <x:xf numFmtId="0" fontId="1" fillId="2" borderId="2" xfId="1" applyFont="1" applyFill="1" applyBorder="1" applyAlignment="1">
      <x:alignment vertical="center" wrapText="1"/>
    </x:xf>
    <x:xf numFmtId="0" fontId="1" fillId="3" borderId="2" xfId="1" applyFont="1" applyFill="1" applyBorder="1" applyAlignment="1">
      <x:alignment vertical="center" wrapText="1"/>
    </x:xf>
    <x:xf numFmtId="0" fontId="3" fillId="4" borderId="6" xfId="1" applyFont="1" applyFill="1" applyBorder="1" applyAlignment="1">
      <x:alignment horizontal="center" vertical="center" wrapText="1"/>
    </x:xf>
    <x:xf numFmtId="0" fontId="3" fillId="4" borderId="7" xfId="1" applyFont="1" applyFill="1" applyBorder="1" applyAlignment="1">
      <x:alignment horizontal="center" vertical="center" wrapText="1"/>
    </x:xf>
    <x:xf numFmtId="0" fontId="1" fillId="2" borderId="8" xfId="1" applyFont="1" applyFill="1" applyBorder="1" applyAlignment="1">
      <x:alignment horizontal="center" vertical="center" wrapText="1"/>
    </x:xf>
    <x:xf numFmtId="0" fontId="1" fillId="2" borderId="9" xfId="1" applyFont="1" applyFill="1" applyBorder="1" applyAlignment="1">
      <x:alignment horizontal="center" vertical="center" wrapText="1"/>
    </x:xf>
    <x:xf numFmtId="0" fontId="1" fillId="2" borderId="10" xfId="1" applyFont="1" applyFill="1" applyBorder="1" applyAlignment="1">
      <x:alignment vertical="center" wrapText="1"/>
    </x:xf>
    <x:xf numFmtId="0" fontId="3" fillId="4" borderId="11" xfId="1" applyFont="1" applyFill="1" applyBorder="1" applyAlignment="1">
      <x:alignment horizontal="center" vertical="center" wrapText="1"/>
    </x:xf>
    <x:xf numFmtId="0" fontId="1" fillId="2" borderId="8" xfId="1" applyFont="1" applyFill="1" applyBorder="1" applyAlignment="1">
      <x:alignment vertical="center" wrapText="1"/>
    </x:xf>
    <x:xf numFmtId="176" fontId="1" fillId="5" borderId="2" xfId="1" applyNumberFormat="1" applyFont="1" applyFill="1" applyBorder="1" applyAlignment="1">
      <x:alignment vertical="center" wrapText="1"/>
    </x:xf>
    <x:xf numFmtId="1" fontId="1" fillId="3" borderId="2" xfId="1" applyNumberFormat="1" applyFont="1" applyFill="1" applyBorder="1" applyAlignment="1">
      <x:alignment vertical="center" wrapText="1"/>
    </x:xf>
    <x:xf numFmtId="177" fontId="1" fillId="3" borderId="2" xfId="1" applyNumberFormat="1" applyFont="1" applyFill="1" applyBorder="1" applyAlignment="1">
      <x:alignment horizontal="center" vertical="center" wrapText="1"/>
    </x:xf>
    <x:xf numFmtId="176" fontId="1" fillId="5" borderId="2" xfId="1" applyNumberFormat="1" applyFont="1" applyFill="1" applyBorder="1" applyAlignment="1">
      <x:alignment horizontal="center" vertical="center" wrapText="1"/>
    </x:xf>
    <x:xf numFmtId="177" fontId="1" fillId="5" borderId="2" xfId="1" applyNumberFormat="1" applyFont="1" applyFill="1" applyBorder="1" applyAlignment="1">
      <x:alignment horizontal="center" vertical="center" wrapText="1"/>
    </x:xf>
    <x:xf numFmtId="0" fontId="1" fillId="3" borderId="12" xfId="1" applyFont="1" applyFill="1" applyBorder="1" applyAlignment="1">
      <x:alignment vertical="center" wrapText="1"/>
    </x:xf>
    <x:xf numFmtId="0" fontId="1" fillId="2" borderId="9" xfId="1" applyFont="1" applyFill="1" applyBorder="1" applyAlignment="1">
      <x:alignment vertical="center" wrapText="1"/>
    </x:xf>
    <x:xf numFmtId="176" fontId="1" fillId="5" borderId="10" xfId="1" applyNumberFormat="1" applyFont="1" applyFill="1" applyBorder="1" applyAlignment="1">
      <x:alignment vertical="center" wrapText="1"/>
    </x:xf>
    <x:xf numFmtId="1" fontId="1" fillId="3" borderId="10" xfId="1" applyNumberFormat="1" applyFont="1" applyFill="1" applyBorder="1" applyAlignment="1">
      <x:alignment vertical="center" wrapText="1"/>
    </x:xf>
    <x:xf numFmtId="177" fontId="1" fillId="3" borderId="10" xfId="1" applyNumberFormat="1" applyFont="1" applyFill="1" applyBorder="1" applyAlignment="1">
      <x:alignment horizontal="center" vertical="center" wrapText="1"/>
    </x:xf>
    <x:xf numFmtId="176" fontId="1" fillId="5" borderId="10" xfId="1" applyNumberFormat="1" applyFont="1" applyFill="1" applyBorder="1" applyAlignment="1">
      <x:alignment horizontal="center" vertical="center" wrapText="1"/>
    </x:xf>
    <x:xf numFmtId="177" fontId="1" fillId="5" borderId="10" xfId="1" applyNumberFormat="1" applyFont="1" applyFill="1" applyBorder="1" applyAlignment="1">
      <x:alignment horizontal="center" vertical="center" wrapText="1"/>
    </x:xf>
    <x:xf numFmtId="0" fontId="1" fillId="3" borderId="13" xfId="1" applyFont="1" applyFill="1" applyBorder="1" applyAlignment="1">
      <x:alignment vertical="center" wrapText="1"/>
    </x:xf>
    <x:xf numFmtId="178" fontId="1" fillId="3" borderId="2" xfId="1" applyNumberFormat="1" applyFont="1" applyFill="1" applyBorder="1" applyAlignment="1">
      <x:alignment vertical="center" wrapText="1"/>
    </x:xf>
    <x:xf numFmtId="1" fontId="1" fillId="3" borderId="2" xfId="1" applyNumberFormat="1" applyFont="1" applyFill="1" applyBorder="1" applyAlignment="1">
      <x:alignment horizontal="center" vertical="center" wrapText="1"/>
    </x:xf>
    <x:xf numFmtId="179" fontId="1" fillId="5" borderId="2" xfId="1" applyNumberFormat="1" applyFont="1" applyFill="1" applyBorder="1" applyAlignment="1">
      <x:alignment horizontal="center" vertical="center" wrapText="1"/>
    </x:xf>
    <x:xf numFmtId="3" fontId="1" fillId="3" borderId="2" xfId="1" applyNumberFormat="1" applyFont="1" applyFill="1" applyBorder="1" applyAlignment="1">
      <x:alignment vertical="center" wrapText="1"/>
    </x:xf>
    <x:xf numFmtId="179" fontId="1" fillId="3" borderId="2" xfId="1" applyNumberFormat="1" applyFont="1" applyFill="1" applyBorder="1" applyAlignment="1">
      <x:alignment horizontal="center" vertical="center" wrapText="1"/>
    </x:xf>
    <x:xf numFmtId="0" fontId="1" fillId="3" borderId="10" xfId="1" applyFont="1" applyFill="1" applyBorder="1" applyAlignment="1">
      <x:alignment vertical="center" wrapText="1"/>
    </x:xf>
    <x:xf numFmtId="178" fontId="1" fillId="3" borderId="10" xfId="1" applyNumberFormat="1" applyFont="1" applyFill="1" applyBorder="1" applyAlignment="1">
      <x:alignment vertical="center" wrapText="1"/>
    </x:xf>
    <x:xf numFmtId="1" fontId="1" fillId="3" borderId="10" xfId="1" applyNumberFormat="1" applyFont="1" applyFill="1" applyBorder="1" applyAlignment="1">
      <x:alignment horizontal="center" vertical="center" wrapText="1"/>
    </x:xf>
    <x:xf numFmtId="179" fontId="1" fillId="3" borderId="10" xfId="1" applyNumberFormat="1" applyFont="1" applyFill="1" applyBorder="1" applyAlignment="1">
      <x:alignment horizontal="center" vertical="center" wrapText="1"/>
    </x:xf>
    <x:xf numFmtId="3" fontId="1" fillId="3" borderId="10" xfId="1" applyNumberFormat="1" applyFont="1" applyFill="1" applyBorder="1" applyAlignment="1">
      <x:alignment vertical="center" wrapText="1"/>
    </x:xf>
    <x:xf numFmtId="0" fontId="7" fillId="2" borderId="2" xfId="1" applyFont="1" applyFill="1" applyBorder="1" applyAlignment="1">
      <x:alignment vertical="center" wrapText="1"/>
    </x:xf>
    <x:xf numFmtId="0" fontId="1" fillId="2" borderId="0" xfId="1" applyFont="1" applyFill="1" applyAlignment="1">
      <x:alignment vertical="center" wrapText="1"/>
    </x:xf>
    <x:xf numFmtId="0" fontId="7" fillId="2" borderId="2" xfId="1" applyFont="1" applyFill="1" applyBorder="1" applyAlignment="1">
      <x:alignment vertical="center" wrapText="1"/>
    </x:xf>
    <x:xf numFmtId="0" fontId="1" fillId="2" borderId="2" xfId="1" applyFont="1" applyFill="1" applyBorder="1" applyAlignment="1">
      <x:alignment vertical="center" wrapText="1"/>
    </x:xf>
    <x:xf numFmtId="0" fontId="4" fillId="5" borderId="0" xfId="1" applyFont="1" applyFill="1" applyAlignment="1">
      <x:alignment vertical="center" wrapText="1"/>
    </x:xf>
    <x:xf numFmtId="0" fontId="2" fillId="2" borderId="1" xfId="1" applyFont="1" applyFill="1" applyBorder="1" applyAlignment="1">
      <x:alignment vertical="center" wrapText="1"/>
    </x:xf>
    <x:xf numFmtId="0" fontId="1" fillId="3" borderId="0" xfId="1" applyFont="1" applyFill="1" applyAlignment="1">
      <x:alignment vertical="center" wrapText="1"/>
    </x:xf>
    <x:xf numFmtId="0" fontId="4" fillId="0" borderId="0" xfId="1" applyFont="1" applyFill="1" applyAlignment="1">
      <x:alignment vertical="center" wrapText="1"/>
    </x:xf>
    <x:xf numFmtId="178" fontId="1" fillId="6" borderId="2" xfId="0" applyNumberFormat="1" applyFont="1" applyFill="1" applyBorder="1" applyAlignment="1">
      <x:alignment vertical="center" wrapText="1"/>
    </x:xf>
    <x:xf numFmtId="1" fontId="1" fillId="6" borderId="2" xfId="0" applyNumberFormat="1" applyFont="1" applyFill="1" applyBorder="1" applyAlignment="1">
      <x:alignment horizontal="center" vertical="center" wrapText="1"/>
    </x:xf>
    <x:xf numFmtId="178" fontId="1" fillId="6" borderId="10" xfId="0" applyNumberFormat="1" applyFont="1" applyFill="1" applyBorder="1" applyAlignment="1">
      <x:alignment vertical="center" wrapText="1"/>
    </x:xf>
    <x:xf numFmtId="1" fontId="1" fillId="6" borderId="10" xfId="0" applyNumberFormat="1" applyFont="1" applyFill="1" applyBorder="1" applyAlignment="1">
      <x:alignment horizontal="center" vertical="center" wrapText="1"/>
    </x:xf>
    <x:xf numFmtId="3" fontId="1" fillId="6" borderId="2" xfId="0" applyNumberFormat="1" applyFont="1" applyFill="1" applyBorder="1" applyAlignment="1">
      <x:alignment vertical="center" wrapText="1"/>
    </x:xf>
    <x:xf numFmtId="3" fontId="1" fillId="6" borderId="10"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179" fontId="1" fillId="6" borderId="2" xfId="0" applyNumberFormat="1" applyFont="1" applyFill="1" applyBorder="1" applyAlignment="1">
      <x:alignment horizontal="center" vertical="center" wrapText="1"/>
    </x:xf>
    <x:xf numFmtId="179" fontId="1" fillId="6" borderId="10" xfId="0" applyNumberFormat="1" applyFont="1" applyFill="1" applyBorder="1" applyAlignment="1">
      <x:alignment horizontal="center" vertical="center" wrapText="1"/>
    </x:xf>
    <x:xf numFmtId="179" fontId="1" fillId="7" borderId="2" xfId="0" applyNumberFormat="1" applyFont="1" applyFill="1" applyBorder="1" applyAlignment="1">
      <x:alignment horizontal="center" vertical="center" wrapText="1"/>
    </x:xf>
    <x:xf numFmtId="176" fontId="1" fillId="7" borderId="2" xfId="0" applyNumberFormat="1" applyFont="1" applyFill="1" applyBorder="1" applyAlignment="1">
      <x:alignment vertical="center" wrapText="1"/>
    </x:xf>
    <x:xf numFmtId="176" fontId="1" fillId="7" borderId="10" xfId="0" applyNumberFormat="1" applyFont="1" applyFill="1" applyBorder="1" applyAlignment="1">
      <x:alignment vertical="center" wrapText="1"/>
    </x:xf>
    <x:xf numFmtId="176" fontId="1" fillId="7" borderId="2" xfId="0" applyNumberFormat="1" applyFont="1" applyFill="1" applyBorder="1" applyAlignment="1">
      <x:alignment horizontal="center" vertical="center" wrapText="1"/>
    </x:xf>
    <x:xf numFmtId="177" fontId="1" fillId="7" borderId="2" xfId="0" applyNumberFormat="1" applyFont="1" applyFill="1" applyBorder="1" applyAlignment="1">
      <x:alignment horizontal="center" vertical="center" wrapText="1"/>
    </x:xf>
    <x:xf numFmtId="176" fontId="1" fillId="7" borderId="10" xfId="0" applyNumberFormat="1" applyFont="1" applyFill="1" applyBorder="1" applyAlignment="1">
      <x:alignment horizontal="center" vertical="center" wrapText="1"/>
    </x:xf>
    <x:xf numFmtId="177" fontId="1" fillId="7" borderId="10" xfId="0" applyNumberFormat="1" applyFont="1" applyFill="1" applyBorder="1" applyAlignment="1">
      <x:alignment horizontal="center" vertical="center" wrapText="1"/>
    </x:xf>
    <x:xf numFmtId="1" fontId="1" fillId="6" borderId="2" xfId="0" applyNumberFormat="1" applyFont="1" applyFill="1" applyBorder="1" applyAlignment="1">
      <x:alignment vertical="center" wrapText="1"/>
    </x:xf>
    <x:xf numFmtId="177" fontId="1" fillId="6" borderId="2" xfId="0" applyNumberFormat="1" applyFont="1" applyFill="1" applyBorder="1" applyAlignment="1">
      <x:alignment horizontal="center" vertical="center" wrapText="1"/>
    </x:xf>
    <x:xf numFmtId="1" fontId="1" fillId="6" borderId="10" xfId="0" applyNumberFormat="1" applyFont="1" applyFill="1" applyBorder="1" applyAlignment="1">
      <x:alignment vertical="center" wrapText="1"/>
    </x:xf>
    <x:xf numFmtId="177" fontId="1" fillId="6" borderId="10" xfId="0" applyNumberFormat="1" applyFont="1" applyFill="1" applyBorder="1" applyAlignment="1">
      <x:alignment horizontal="center" vertical="center" wrapText="1"/>
    </x:xf>
    <x:xf numFmtId="200" fontId="1" fillId="6" borderId="2" xfId="0" applyNumberFormat="1" applyFont="1" applyFill="1" applyBorder="1" applyAlignment="1">
      <x:alignment vertical="center" wrapText="1"/>
    </x:xf>
    <x:xf numFmtId="200" fontId="1" fillId="6" borderId="10" xfId="0" applyNumberFormat="1" applyFont="1" applyFill="1" applyBorder="1" applyAlignment="1">
      <x:alignment vertical="center" wrapText="1"/>
    </x:xf>
    <x:xf numFmtId="201" fontId="1" fillId="6" borderId="2" xfId="0" applyNumberFormat="1" applyFont="1" applyFill="1" applyBorder="1" applyAlignment="1">
      <x:alignment horizontal="center" vertical="center" wrapText="1"/>
    </x:xf>
    <x:xf numFmtId="201" fontId="1" fillId="6" borderId="10" xfId="0" applyNumberFormat="1" applyFont="1" applyFill="1" applyBorder="1" applyAlignment="1">
      <x:alignment horizontal="center" vertical="center" wrapText="1"/>
    </x:xf>
    <x:xf numFmtId="202" fontId="1" fillId="7" borderId="2" xfId="0" applyNumberFormat="1" applyFont="1" applyFill="1" applyBorder="1" applyAlignment="1">
      <x:alignment vertical="center" wrapText="1"/>
    </x:xf>
    <x:xf numFmtId="202" fontId="1" fillId="7" borderId="10" xfId="0" applyNumberFormat="1" applyFont="1" applyFill="1" applyBorder="1" applyAlignment="1">
      <x:alignment vertical="center" wrapText="1"/>
    </x:xf>
    <x:xf numFmtId="202" fontId="1" fillId="7" borderId="2" xfId="0" applyNumberFormat="1" applyFont="1" applyFill="1" applyBorder="1" applyAlignment="1">
      <x:alignment horizontal="center" vertical="center" wrapText="1"/>
    </x:xf>
    <x:xf numFmtId="202" fontId="1" fillId="7" borderId="10" xfId="0" applyNumberFormat="1" applyFont="1" applyFill="1" applyBorder="1" applyAlignment="1">
      <x:alignment horizontal="center" vertical="center" wrapText="1"/>
    </x:xf>
    <x:xf numFmtId="203" fontId="1" fillId="7" borderId="2" xfId="0" applyNumberFormat="1" applyFont="1" applyFill="1" applyBorder="1" applyAlignment="1">
      <x:alignment horizontal="center" vertical="center" wrapText="1"/>
    </x:xf>
    <x:xf numFmtId="203" fontId="1" fillId="7" borderId="10" xfId="0" applyNumberFormat="1" applyFont="1" applyFill="1" applyBorder="1" applyAlignment="1">
      <x:alignment horizontal="center" vertical="center" wrapText="1"/>
    </x:xf>
    <x:xf numFmtId="201" fontId="1" fillId="6" borderId="2" xfId="0" applyNumberFormat="1" applyFont="1" applyFill="1" applyBorder="1" applyAlignment="1">
      <x:alignment vertical="center" wrapText="1"/>
    </x:xf>
    <x:xf numFmtId="201" fontId="1" fillId="6" borderId="10" xfId="0" applyNumberFormat="1" applyFont="1" applyFill="1" applyBorder="1" applyAlignment="1">
      <x:alignment vertical="center" wrapText="1"/>
    </x:xf>
  </x:cellXfs>
  <x:cellStyles count="2">
    <x:cellStyle name="Normal" xfId="1"/>
    <x:cellStyle name="常规" xfId="0"/>
  </x:cellStyles>
  <x:dxfs count="46">
    <x:dxf>
      <x:border>
        <x:left style="thin">
          <x:color indexed="64"/>
        </x:left>
        <x:right style="thin">
          <x:color indexed="64"/>
        </x:right>
        <x:top style="thin">
          <x:color indexed="64"/>
        </x:top>
        <x:bottom style="thin">
          <x:color indexed="64"/>
        </x:bottom>
      </x:border>
    </x:dxf>
    <x:dxf>
      <x:border>
        <x:left style="thin">
          <x:color indexed="64"/>
        </x:left>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x:right style="thin">
          <x:color indexed="64"/>
        </x:right>
        <x:top style="thin">
          <x:color indexed="64"/>
        </x:top>
        <x:bottom style="thin">
          <x:color indexed="64"/>
        </x:bottom>
      </x:border>
    </x:dxf>
    <x:dxf>
      <x:border>
        <x:top style="thin">
          <x:color indexed="64"/>
        </x:top>
      </x:border>
    </x:dxf>
    <x:dxf>
      <x:border>
        <x:left style="thin">
          <x:color indexed="64"/>
        </x:left>
        <x:right style="thin">
          <x:color indexed="64"/>
        </x:right>
        <x:top style="thin">
          <x:color indexed="64"/>
        </x:top>
        <x:bottom style="thin">
          <x:color indexed="64"/>
        </x:bottom>
      </x:border>
    </x:dxf>
    <x:dxf>
      <x:border>
        <x:bottom style="thin">
          <x:color indexed="64"/>
        </x:bottom>
      </x:border>
    </x:dxf>
    <x:dxf>
      <x:border>
        <x:left style="thin">
          <x:color indexed="64"/>
        </x:left>
        <x:right style="thin">
          <x:color indexed="64"/>
        </x:right>
        <x:top/>
        <x:bottom/>
      </x:border>
    </x:dxf>
    <x:dxf>
      <x:border>
        <x:left style="thin">
          <x:color indexed="64"/>
        </x:left>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x:right style="thin">
          <x:color indexed="64"/>
        </x:right>
        <x:top style="thin">
          <x:color indexed="64"/>
        </x:top>
        <x:bottom style="thin">
          <x:color indexed="64"/>
        </x:bottom>
      </x:border>
    </x:dxf>
    <x:dxf>
      <x:border>
        <x:top style="thin">
          <x:color indexed="64"/>
        </x:top>
      </x:border>
    </x:dxf>
    <x:dxf>
      <x:border>
        <x:left style="thin">
          <x:color indexed="64"/>
        </x:left>
        <x:right style="thin">
          <x:color indexed="64"/>
        </x:right>
        <x:top style="thin">
          <x:color indexed="64"/>
        </x:top>
        <x:bottom style="thin">
          <x:color indexed="64"/>
        </x:bottom>
      </x:border>
    </x:dxf>
    <x:dxf>
      <x:border>
        <x:bottom style="thin">
          <x:color indexed="64"/>
        </x:bottom>
      </x:border>
    </x:dxf>
    <x:dxf>
      <x:border>
        <x:left style="thin">
          <x:color indexed="64"/>
        </x:left>
        <x:right style="thin">
          <x:color indexed="64"/>
        </x:right>
        <x:top/>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x:right style="thin">
          <x:color indexed="64"/>
        </x:right>
        <x:top style="thin">
          <x:color indexed="64"/>
        </x:top>
        <x:bottom style="thin">
          <x:color indexed="64"/>
        </x:bottom>
      </x:border>
    </x:dxf>
    <x:dxf>
      <x:border>
        <x:bottom style="thin">
          <x:color indexed="6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30ddb7186c54006" /><Relationship Type="http://schemas.openxmlformats.org/officeDocument/2006/relationships/theme" Target="/xl/theme/theme1.xml" Id="R27c73c5442664278" /><Relationship Type="http://schemas.openxmlformats.org/officeDocument/2006/relationships/sharedStrings" Target="/xl/sharedStrings.xml" Id="R60305800bb524006" /><Relationship Type="http://schemas.openxmlformats.org/officeDocument/2006/relationships/worksheet" Target="/xl/worksheets/sheet1.xml" Id="R921fedcffbea4f09" /><Relationship Type="http://schemas.openxmlformats.org/officeDocument/2006/relationships/worksheet" Target="/xl/worksheets/sheet2.xml" Id="R0946778e948f46f2" /><Relationship Type="http://schemas.openxmlformats.org/officeDocument/2006/relationships/worksheet" Target="/xl/worksheets/sheet3.xml" Id="Rcd716b8bc876447f" /></Relationships>
</file>

<file path=xl/tables/table1.xml><?xml version="1.0" encoding="utf-8"?>
<x:table xmlns:x="http://schemas.openxmlformats.org/spreadsheetml/2006/main" id="1" name="RequirementsV4" displayName="RequirementsV4" ref="A4:D18" totalsRowShown="0" headerRowBorderDxfId="45">
  <x:tableColumns count="4">
    <x:tableColumn id="1" name="No." dataDxfId="44"/>
    <x:tableColumn id="2" name="ITOM担当側の要件" dataDxfId="43"/>
    <x:tableColumn id="3" name="ITOM担当側の提示・担当事項" dataDxfId="42"/>
    <x:tableColumn id="4" name="環境担当側の提示・担当事項" dataDxfId="41"/>
  </x:tableColumns>
  <x:tableStyleInfo name="TableStyleLight1" showFirstColumn="0" showLastColumn="0" showRowStripes="1" showColumnStripes="0"/>
</x:table>
</file>

<file path=xl/tables/table2.xml><?xml version="1.0" encoding="utf-8"?>
<x:table xmlns:x="http://schemas.openxmlformats.org/spreadsheetml/2006/main" id="2" name="CommunicationV3" displayName="CommunicationV3" ref="A6:J23" totalsRowShown="0">
  <x:tableColumns count="10">
    <x:tableColumn id="1" name="通信 ID" dataDxfId="40"/>
    <x:tableColumn id="2" name="適用条件" dataDxfId="39"/>
    <x:tableColumn id="3" name="送信元" dataDxfId="38"/>
    <x:tableColumn id="4" name="宛先" dataDxfId="37"/>
    <x:tableColumn id="5" name="Protocol / 宛先ポート" dataDxfId="36"/>
    <x:tableColumn id="6" name="用途 / 通信の発生タイミング" dataDxfId="35"/>
    <x:tableColumn id="7" name="ITOM担当側の採用値・エビデンス" dataDxfId="34"/>
    <x:tableColumn id="8" name="環境担当側の担当事項" dataDxfId="33"/>
    <x:tableColumn id="9" name="環境担当側の回答 / 申請" dataDxfId="32"/>
    <x:tableColumn id="10" name="根拠" dataDxfId="31"/>
  </x:tableColumns>
  <x:tableStyleInfo name="TableStyleLight1" showFirstColumn="0" showLastColumn="0" showRowStripes="1" showColumnStripes="0"/>
</x:table>
</file>

<file path=xl/tables/table3.xml><?xml version="1.0" encoding="utf-8"?>
<x:table xmlns:x="http://schemas.openxmlformats.org/spreadsheetml/2006/main" id="3" name="TrafficEstimatesV4" displayName="TrafficEstimatesV4" ref="A6:J13" totalsRowShown="0" headerRowBorderDxfId="29">
  <x:tableColumns count="10">
    <x:tableColumn id="1" name="通信 ID" dataDxfId="26"/>
    <x:tableColumn id="2" name="通信経路" dataDxfId="25"/>
    <x:tableColumn id="3" name="通常時の収集 / 原単位" dataDxfId="24"/>
    <x:tableColumn id="4" name="実測記録 ID" dataDxfId="23"/>
    <x:tableColumn id="5" name="実測原単位 MB" dataDxfId="22"/>
    <x:tableColumn id="6" name="適用数量_x000a_台 / IP" dataDxfId="21"/>
    <x:tableColumn id="7" name="実行回数/日_x000a_日単位の場合は 1" dataDxfId="20"/>
    <x:tableColumn id="8" name="1日あたり概算_x000a_MB/日" dataDxfId="19"/>
    <x:tableColumn id="9" name="日平均 Mbps_x000a_ピーク値ではない" dataDxfId="18"/>
    <x:tableColumn id="10" name="適用条件 / 環境担当側の回答" dataDxfId="17"/>
  </x:tableColumns>
  <x:tableStyleInfo name="TableStyleLight1" showFirstColumn="0" showLastColumn="0" showRowStripes="1" showColumnStripes="0"/>
</x:table>
</file>

<file path=xl/tables/table4.xml><?xml version="1.0" encoding="utf-8"?>
<x:table xmlns:x="http://schemas.openxmlformats.org/spreadsheetml/2006/main" id="4" name="PocMeasurementsV4" displayName="PocMeasurementsV4" ref="A34:M41" totalsRowShown="0" headerRowBorderDxfId="15">
  <x:tableColumns count="13">
    <x:tableColumn id="1" name="記録 ID" dataDxfId="12"/>
    <x:tableColumn id="2" name="通信 ID" dataDxfId="11"/>
    <x:tableColumn id="3" name="通常時の収集区分" dataDxfId="10"/>
    <x:tableColumn id="4" name="片側の観測対象 / 測定範囲" dataDxfId="9"/>
    <x:tableColumn id="5" name="開始日時 JST" dataDxfId="8"/>
    <x:tableColumn id="6" name="終了日時 JST" dataDxfId="7"/>
    <x:tableColumn id="7" name="台数 / IP数" dataDxfId="6"/>
    <x:tableColumn id="8" name="回数 / 観測日数" dataDxfId="5"/>
    <x:tableColumn id="9" name="受信 Bytes_x000a_期間合計" dataDxfId="4"/>
    <x:tableColumn id="10" name="送信 Bytes_x000a_期間合計" dataDxfId="3"/>
    <x:tableColumn id="11" name="合計 MB" dataDxfId="2"/>
    <x:tableColumn id="12" name="原単位 MB_x000a_台/回または日単位" dataDxfId="0"/>
    <x:tableColumn id="14" name="対象通信の確認" dataDxfId="1"/>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2ebe98c24842a8" /></Relationships>
</file>

<file path=xl/worksheets/_rels/sheet2.xml.rels>&#65279;<?xml version="1.0" encoding="utf-8"?><Relationships xmlns="http://schemas.openxmlformats.org/package/2006/relationships"><Relationship Type="http://schemas.openxmlformats.org/officeDocument/2006/relationships/table" Target="/xl/tables/table2.xml" Id="R58b7eb1cf4704f9f" /></Relationships>
</file>

<file path=xl/worksheets/_rels/sheet3.xml.rels>&#65279;<?xml version="1.0" encoding="utf-8"?><Relationships xmlns="http://schemas.openxmlformats.org/package/2006/relationships"><Relationship Type="http://schemas.openxmlformats.org/officeDocument/2006/relationships/table" Target="/xl/tables/table3.xml" Id="R30873a806efd41da" /><Relationship Type="http://schemas.openxmlformats.org/officeDocument/2006/relationships/table" Target="/xl/tables/table4.xml" Id="R534f8b3da18549bb" /></Relationships>
</file>

<file path=xl/worksheets/sheet1.xml><?xml version="1.0" encoding="utf-8"?>
<x:worksheet xmlns:x="http://schemas.openxmlformats.org/spreadsheetml/2006/main">
  <x:sheetViews>
    <x:sheetView showGridLines="0" workbookViewId="0"/>
  </x:sheetViews>
  <x:sheetFormatPr defaultRowHeight="14.25"/>
  <x:cols>
    <x:col min="1" max="1" width="7.46484375" customWidth="1"/>
    <x:col min="2" max="2" width="31.265625" customWidth="1"/>
    <x:col min="3" max="3" width="56.19921875" customWidth="1"/>
    <x:col min="4" max="4" width="54.86328125" customWidth="1"/>
  </x:cols>
  <x:sheetData>
    <x:row r="1" ht="34.04999923706055" customHeight="1">
      <x:c r="A1" s="42" t="s">
        <x:v>0</x:v>
      </x:c>
      <x:c r="B1" s="42"/>
      <x:c r="C1" s="42"/>
      <x:c r="D1" s="42"/>
    </x:row>
    <x:row r="2" ht="38" customHeight="1">
      <x:c r="A2" s="38" t="s">
        <x:v>1</x:v>
      </x:c>
      <x:c r="B2" s="38"/>
      <x:c r="C2" s="38"/>
      <x:c r="D2" s="38"/>
    </x:row>
    <x:row r="3" ht="40.04999923706055" customHeight="1">
      <x:c r="A3" s="38" t="s">
        <x:v>2</x:v>
      </x:c>
      <x:c r="B3" s="38"/>
      <x:c r="C3" s="38"/>
      <x:c r="D3" s="38"/>
    </x:row>
    <x:row r="4" ht="30" customHeight="1">
      <x:c r="A4" s="7" t="s">
        <x:v>3</x:v>
      </x:c>
      <x:c r="B4" s="8" t="s">
        <x:v>4</x:v>
      </x:c>
      <x:c r="C4" s="8" t="s">
        <x:v>5</x:v>
      </x:c>
      <x:c r="D4" s="8" t="s">
        <x:v>6</x:v>
      </x:c>
    </x:row>
    <x:row r="5" ht="45" customHeight="1">
      <x:c r="A5" s="9">
        <x:v>1</x:v>
      </x:c>
      <x:c r="B5" s="5" t="s">
        <x:v>7</x:v>
      </x:c>
      <x:c r="C5" s="5" t="s">
        <x:v>8</x:v>
      </x:c>
      <x:c r="D5" s="5" t="s">
        <x:v>9</x:v>
      </x:c>
    </x:row>
    <x:row r="6" ht="62" customHeight="1">
      <x:c r="A6" s="9">
        <x:v>2</x:v>
      </x:c>
      <x:c r="B6" s="5" t="s">
        <x:v>10</x:v>
      </x:c>
      <x:c r="C6" s="5" t="s">
        <x:v>11</x:v>
      </x:c>
      <x:c r="D6" s="5" t="s">
        <x:v>12</x:v>
      </x:c>
    </x:row>
    <x:row r="7" ht="60" customHeight="1">
      <x:c r="A7" s="9">
        <x:v>3</x:v>
      </x:c>
      <x:c r="B7" s="5" t="s">
        <x:v>13</x:v>
      </x:c>
      <x:c r="C7" s="5" t="s">
        <x:v>14</x:v>
      </x:c>
      <x:c r="D7" s="5" t="s">
        <x:v>15</x:v>
      </x:c>
    </x:row>
    <x:row r="8" ht="45" customHeight="1">
      <x:c r="A8" s="9">
        <x:v>4</x:v>
      </x:c>
      <x:c r="B8" s="5" t="s">
        <x:v>16</x:v>
      </x:c>
      <x:c r="C8" s="5" t="s">
        <x:v>17</x:v>
      </x:c>
      <x:c r="D8" s="5" t="s">
        <x:v>18</x:v>
      </x:c>
    </x:row>
    <x:row r="9" ht="64" customHeight="1">
      <x:c r="A9" s="9">
        <x:v>5</x:v>
      </x:c>
      <x:c r="B9" s="5" t="s">
        <x:v>19</x:v>
      </x:c>
      <x:c r="C9" s="5" t="s">
        <x:v>20</x:v>
      </x:c>
      <x:c r="D9" s="5" t="s">
        <x:v>21</x:v>
      </x:c>
    </x:row>
    <x:row r="10" ht="60" customHeight="1">
      <x:c r="A10" s="9">
        <x:v>6</x:v>
      </x:c>
      <x:c r="B10" s="5" t="s">
        <x:v>22</x:v>
      </x:c>
      <x:c r="C10" s="5" t="s">
        <x:v>23</x:v>
      </x:c>
      <x:c r="D10" s="5" t="s">
        <x:v>24</x:v>
      </x:c>
    </x:row>
    <x:row r="11" ht="48" customHeight="1">
      <x:c r="A11" s="9">
        <x:v>7</x:v>
      </x:c>
      <x:c r="B11" s="5" t="s">
        <x:v>25</x:v>
      </x:c>
      <x:c r="C11" s="5" t="s">
        <x:v>26</x:v>
      </x:c>
      <x:c r="D11" s="5" t="s">
        <x:v>27</x:v>
      </x:c>
    </x:row>
    <x:row r="12" ht="78" customHeight="1">
      <x:c r="A12" s="9">
        <x:v>8</x:v>
      </x:c>
      <x:c r="B12" s="5" t="s">
        <x:v>28</x:v>
      </x:c>
      <x:c r="C12" s="5" t="s">
        <x:v>29</x:v>
      </x:c>
      <x:c r="D12" s="5" t="s">
        <x:v>30</x:v>
      </x:c>
    </x:row>
    <x:row r="13" ht="60" customHeight="1">
      <x:c r="A13" s="9">
        <x:v>9</x:v>
      </x:c>
      <x:c r="B13" s="5" t="s">
        <x:v>31</x:v>
      </x:c>
      <x:c r="C13" s="5" t="s">
        <x:v>32</x:v>
      </x:c>
      <x:c r="D13" s="5" t="s">
        <x:v>33</x:v>
      </x:c>
    </x:row>
    <x:row r="14" ht="45" customHeight="1">
      <x:c r="A14" s="9">
        <x:v>10</x:v>
      </x:c>
      <x:c r="B14" s="5" t="s">
        <x:v>34</x:v>
      </x:c>
      <x:c r="C14" s="5" t="s">
        <x:v>35</x:v>
      </x:c>
      <x:c r="D14" s="5" t="s">
        <x:v>36</x:v>
      </x:c>
    </x:row>
    <x:row r="15" ht="68" customHeight="1">
      <x:c r="A15" s="9">
        <x:v>11</x:v>
      </x:c>
      <x:c r="B15" s="5" t="s">
        <x:v>37</x:v>
      </x:c>
      <x:c r="C15" s="5" t="s">
        <x:v>38</x:v>
      </x:c>
      <x:c r="D15" s="5" t="s">
        <x:v>39</x:v>
      </x:c>
    </x:row>
    <x:row r="16" ht="55" customHeight="1">
      <x:c r="A16" s="9">
        <x:v>12</x:v>
      </x:c>
      <x:c r="B16" s="5" t="s">
        <x:v>40</x:v>
      </x:c>
      <x:c r="C16" s="5" t="s">
        <x:v>41</x:v>
      </x:c>
      <x:c r="D16" s="5" t="s">
        <x:v>42</x:v>
      </x:c>
    </x:row>
    <x:row r="17" ht="58" customHeight="1">
      <x:c r="A17" s="9">
        <x:v>13</x:v>
      </x:c>
      <x:c r="B17" s="5" t="s">
        <x:v>43</x:v>
      </x:c>
      <x:c r="C17" s="5" t="s">
        <x:v>44</x:v>
      </x:c>
      <x:c r="D17" s="5" t="s">
        <x:v>45</x:v>
      </x:c>
    </x:row>
    <x:row r="18" ht="62" customHeight="1">
      <x:c r="A18" s="10">
        <x:v>14</x:v>
      </x:c>
      <x:c r="B18" s="11" t="s">
        <x:v>46</x:v>
      </x:c>
      <x:c r="C18" s="11" t="s">
        <x:v>47</x:v>
      </x:c>
      <x:c r="D18" s="11" t="s">
        <x:v>48</x:v>
      </x:c>
    </x:row>
    <x:row r="19" ht="26" customHeight="1">
      <x:c r="A19" s="1"/>
      <x:c r="B19" s="1"/>
      <x:c r="C19" s="1"/>
      <x:c r="D19" s="1"/>
    </x:row>
    <x:row r="20" ht="26" customHeight="1">
      <x:c r="A20" s="1"/>
      <x:c r="B20" s="1"/>
      <x:c r="C20" s="1"/>
      <x:c r="D20" s="1"/>
    </x:row>
    <x:row r="21" ht="26" customHeight="1">
      <x:c r="A21" s="1"/>
      <x:c r="B21" s="1"/>
      <x:c r="C21" s="1"/>
      <x:c r="D21" s="1"/>
    </x:row>
    <x:row r="22" ht="27" customHeight="1">
      <x:c r="A22" s="44" t="s">
        <x:v>49</x:v>
      </x:c>
      <x:c r="B22" s="44"/>
      <x:c r="C22" s="44"/>
      <x:c r="D22" s="44"/>
    </x:row>
    <x:row r="23" ht="80" customHeight="1">
      <x:c r="A23" s="5" t="s">
        <x:v>50</x:v>
      </x:c>
      <x:c r="B23" s="39" t="s">
        <x:v>51</x:v>
      </x:c>
      <x:c r="C23" s="40"/>
      <x:c r="D23" s="5" t="s">
        <x:v>52</x:v>
      </x:c>
    </x:row>
    <x:row r="24" ht="50" customHeight="1">
      <x:c r="A24" s="5" t="s">
        <x:v>53</x:v>
      </x:c>
      <x:c r="B24" s="39" t="s">
        <x:v>54</x:v>
      </x:c>
      <x:c r="C24" s="40"/>
      <x:c r="D24" s="5" t="s">
        <x:v>55</x:v>
      </x:c>
    </x:row>
    <x:row r="25" ht="65" customHeight="1">
      <x:c r="A25" s="5" t="s">
        <x:v>56</x:v>
      </x:c>
      <x:c r="B25" s="39" t="s">
        <x:v>57</x:v>
      </x:c>
      <x:c r="C25" s="40"/>
      <x:c r="D25" s="5" t="s">
        <x:v>58</x:v>
      </x:c>
    </x:row>
    <x:row r="26" ht="76" customHeight="1">
      <x:c r="A26" s="5" t="s">
        <x:v>59</x:v>
      </x:c>
      <x:c r="B26" s="39" t="s">
        <x:v>60</x:v>
      </x:c>
      <x:c r="C26" s="40"/>
      <x:c r="D26" s="5" t="s">
        <x:v>61</x:v>
      </x:c>
    </x:row>
    <x:row r="27" ht="76" customHeight="1">
      <x:c r="A27" s="5" t="s">
        <x:v>62</x:v>
      </x:c>
      <x:c r="B27" s="39" t="s">
        <x:v>63</x:v>
      </x:c>
      <x:c r="C27" s="40"/>
      <x:c r="D27" s="5" t="s">
        <x:v>64</x:v>
      </x:c>
    </x:row>
    <x:row r="28" ht="63" customHeight="1">
      <x:c r="A28" s="5" t="s">
        <x:v>65</x:v>
      </x:c>
      <x:c r="B28" s="39" t="s">
        <x:v>66</x:v>
      </x:c>
      <x:c r="C28" s="40"/>
      <x:c r="D28" s="5" t="s">
        <x:v>67</x:v>
      </x:c>
    </x:row>
    <x:row r="29" ht="66" customHeight="1">
      <x:c r="A29" s="5" t="s">
        <x:v>68</x:v>
      </x:c>
      <x:c r="B29" s="39" t="s">
        <x:v>69</x:v>
      </x:c>
      <x:c r="C29" s="40"/>
      <x:c r="D29" s="5" t="s">
        <x:v>70</x:v>
      </x:c>
    </x:row>
    <x:row r="30" ht="12" customHeight="1">
      <x:c r="A30" s="1"/>
      <x:c r="B30" s="38"/>
      <x:c r="C30" s="38"/>
      <x:c r="D30" s="38"/>
    </x:row>
    <x:row r="31" ht="26" customHeight="1">
      <x:c r="A31" s="1"/>
      <x:c r="B31" s="1"/>
      <x:c r="C31" s="1"/>
      <x:c r="D31" s="1"/>
    </x:row>
    <x:row r="32" ht="26" customHeight="1">
      <x:c r="A32" s="1"/>
      <x:c r="B32" s="1"/>
      <x:c r="C32" s="1"/>
      <x:c r="D32" s="1"/>
    </x:row>
    <x:row r="33" ht="26" customHeight="1">
      <x:c r="A33" s="1"/>
      <x:c r="B33" s="1"/>
      <x:c r="C33" s="1"/>
      <x:c r="D33" s="1"/>
    </x:row>
    <x:row r="34" ht="26" customHeight="1">
      <x:c r="A34" s="1"/>
      <x:c r="B34" s="1"/>
      <x:c r="C34" s="1"/>
      <x:c r="D34" s="1"/>
    </x:row>
  </x:sheetData>
  <x:mergeCells>
    <x:mergeCell ref="B24:C24"/>
    <x:mergeCell ref="B25:C25"/>
    <x:mergeCell ref="A22:D22"/>
    <x:mergeCell ref="B23:C23"/>
    <x:mergeCell ref="A1:D1"/>
    <x:mergeCell ref="A2:D2"/>
    <x:mergeCell ref="A3:D3"/>
    <x:mergeCell ref="B30:D30"/>
    <x:mergeCell ref="B28:C28"/>
    <x:mergeCell ref="B29:C29"/>
    <x:mergeCell ref="B26:C26"/>
    <x:mergeCell ref="B27:C27"/>
  </x:mergeCells>
  <x:pageMargins left="0.7" right="0.7" top="0.75" bottom="0.75" header="0.3" footer="0.3"/>
  <x:tableParts count="1">
    <x:tablePart xmlns:r="http://schemas.openxmlformats.org/officeDocument/2006/relationships" r:id="R8d2ebe98c24842a8"/>
  </x:tableParts>
</x:worksheet>
</file>

<file path=xl/worksheets/sheet2.xml><?xml version="1.0" encoding="utf-8"?>
<x:worksheet xmlns:x="http://schemas.openxmlformats.org/spreadsheetml/2006/main">
  <x:sheetViews>
    <x:sheetView showGridLines="0" workbookViewId="0"/>
  </x:sheetViews>
  <x:sheetFormatPr defaultRowHeight="14.25"/>
  <x:cols>
    <x:col min="1" max="1" width="7.46484375" customWidth="1"/>
    <x:col min="2" max="3" width="20" customWidth="1"/>
    <x:col min="4" max="4" width="43.19921875" customWidth="1"/>
    <x:col min="5" max="5" width="34.33203125" customWidth="1"/>
    <x:col min="6" max="6" width="38.33203125" customWidth="1"/>
    <x:col min="7" max="7" width="33.1328125" customWidth="1"/>
    <x:col min="8" max="8" width="28.73046875" customWidth="1"/>
    <x:col min="9" max="9" width="26.265625" customWidth="1"/>
    <x:col min="10" max="10" width="8.1328125" customWidth="1"/>
  </x:cols>
  <x:sheetData>
    <x:row r="1" ht="26" customHeight="1">
      <x:c r="A1" s="1"/>
      <x:c r="B1" s="1"/>
      <x:c r="C1" s="1"/>
      <x:c r="D1" s="1"/>
      <x:c r="E1" s="1"/>
      <x:c r="F1" s="1"/>
      <x:c r="G1" s="1"/>
      <x:c r="H1" s="1"/>
      <x:c r="I1" s="1"/>
      <x:c r="J1" s="1"/>
    </x:row>
    <x:row r="2" ht="34.04999923706055" customHeight="1">
      <x:c r="A2" s="42" t="s">
        <x:v>71</x:v>
      </x:c>
      <x:c r="B2" s="42"/>
      <x:c r="C2" s="42"/>
      <x:c r="D2" s="42"/>
      <x:c r="E2" s="42"/>
      <x:c r="F2" s="42"/>
      <x:c r="G2" s="42"/>
      <x:c r="H2" s="42"/>
      <x:c r="I2" s="42"/>
      <x:c r="J2" s="42"/>
    </x:row>
    <x:row r="3" ht="38" customHeight="1">
      <x:c r="A3" s="38" t="s">
        <x:v>72</x:v>
      </x:c>
      <x:c r="B3" s="38"/>
      <x:c r="C3" s="38"/>
      <x:c r="D3" s="38"/>
      <x:c r="E3" s="38"/>
      <x:c r="F3" s="38"/>
      <x:c r="G3" s="38"/>
      <x:c r="H3" s="38"/>
      <x:c r="I3" s="38"/>
      <x:c r="J3" s="38"/>
    </x:row>
    <x:row r="4" ht="34.04999923706055" customHeight="1">
      <x:c r="A4" s="38" t="s">
        <x:v>73</x:v>
      </x:c>
      <x:c r="B4" s="38"/>
      <x:c r="C4" s="38"/>
      <x:c r="D4" s="38"/>
      <x:c r="E4" s="38"/>
      <x:c r="F4" s="38"/>
      <x:c r="G4" s="38"/>
      <x:c r="H4" s="38"/>
      <x:c r="I4" s="38"/>
      <x:c r="J4" s="38"/>
    </x:row>
    <x:row r="5" ht="26" customHeight="1">
      <x:c r="A5" s="1"/>
      <x:c r="B5" s="1"/>
      <x:c r="C5" s="1"/>
      <x:c r="D5" s="1"/>
      <x:c r="E5" s="1"/>
      <x:c r="F5" s="1"/>
      <x:c r="G5" s="1"/>
      <x:c r="H5" s="1"/>
      <x:c r="I5" s="1"/>
      <x:c r="J5" s="1"/>
    </x:row>
    <x:row r="6" ht="40.04999923706055" customHeight="1">
      <x:c r="A6" s="2" t="s">
        <x:v>74</x:v>
      </x:c>
      <x:c r="B6" s="3" t="s">
        <x:v>75</x:v>
      </x:c>
      <x:c r="C6" s="3" t="s">
        <x:v>76</x:v>
      </x:c>
      <x:c r="D6" s="3" t="s">
        <x:v>77</x:v>
      </x:c>
      <x:c r="E6" s="3" t="s">
        <x:v>78</x:v>
      </x:c>
      <x:c r="F6" s="3" t="s">
        <x:v>79</x:v>
      </x:c>
      <x:c r="G6" s="3" t="s">
        <x:v>80</x:v>
      </x:c>
      <x:c r="H6" s="3" t="s">
        <x:v>81</x:v>
      </x:c>
      <x:c r="I6" s="3" t="s">
        <x:v>82</x:v>
      </x:c>
      <x:c r="J6" s="4" t="s">
        <x:v>83</x:v>
      </x:c>
    </x:row>
    <x:row r="7" ht="48" customHeight="1">
      <x:c r="A7" s="5" t="s">
        <x:v>84</x:v>
      </x:c>
      <x:c r="B7" s="5" t="s">
        <x:v>85</x:v>
      </x:c>
      <x:c r="C7" s="5" t="s">
        <x:v>86</x:v>
      </x:c>
      <x:c r="D7" s="5" t="s">
        <x:v>87</x:v>
      </x:c>
      <x:c r="E7" s="37" t="s">
        <x:v>88</x:v>
      </x:c>
      <x:c r="F7" s="5" t="s">
        <x:v>89</x:v>
      </x:c>
      <x:c r="G7" s="6" t="s">
        <x:v>90</x:v>
      </x:c>
      <x:c r="H7" s="5" t="s">
        <x:v>91</x:v>
      </x:c>
      <x:c r="I7" s="6"/>
      <x:c r="J7" s="5" t="s">
        <x:v>92</x:v>
      </x:c>
    </x:row>
    <x:row r="8" ht="48" customHeight="1">
      <x:c r="A8" s="5" t="s">
        <x:v>93</x:v>
      </x:c>
      <x:c r="B8" s="5" t="s">
        <x:v>94</x:v>
      </x:c>
      <x:c r="C8" s="5" t="s">
        <x:v>95</x:v>
      </x:c>
      <x:c r="D8" s="5" t="s">
        <x:v>96</x:v>
      </x:c>
      <x:c r="E8" s="5" t="s">
        <x:v>97</x:v>
      </x:c>
      <x:c r="F8" s="5" t="s">
        <x:v>98</x:v>
      </x:c>
      <x:c r="G8" s="6" t="s">
        <x:v>99</x:v>
      </x:c>
      <x:c r="H8" s="5" t="s">
        <x:v>100</x:v>
      </x:c>
      <x:c r="I8" s="6"/>
      <x:c r="J8" s="5" t="s">
        <x:v>50</x:v>
      </x:c>
    </x:row>
    <x:row r="9" ht="48" customHeight="1">
      <x:c r="A9" s="5" t="s">
        <x:v>101</x:v>
      </x:c>
      <x:c r="B9" s="5" t="s">
        <x:v>102</x:v>
      </x:c>
      <x:c r="C9" s="5" t="s">
        <x:v>86</x:v>
      </x:c>
      <x:c r="D9" s="5" t="s">
        <x:v>103</x:v>
      </x:c>
      <x:c r="E9" s="5" t="s">
        <x:v>104</x:v>
      </x:c>
      <x:c r="F9" s="5" t="s">
        <x:v>105</x:v>
      </x:c>
      <x:c r="G9" s="6" t="s">
        <x:v>106</x:v>
      </x:c>
      <x:c r="H9" s="5" t="s">
        <x:v>107</x:v>
      </x:c>
      <x:c r="I9" s="6"/>
      <x:c r="J9" s="5" t="s">
        <x:v>59</x:v>
      </x:c>
    </x:row>
    <x:row r="10" ht="60" customHeight="1">
      <x:c r="A10" s="5" t="s">
        <x:v>108</x:v>
      </x:c>
      <x:c r="B10" s="5" t="s">
        <x:v>109</x:v>
      </x:c>
      <x:c r="C10" s="5" t="s">
        <x:v>110</x:v>
      </x:c>
      <x:c r="D10" s="5" t="s">
        <x:v>103</x:v>
      </x:c>
      <x:c r="E10" s="5" t="s">
        <x:v>104</x:v>
      </x:c>
      <x:c r="F10" s="5" t="s">
        <x:v>111</x:v>
      </x:c>
      <x:c r="G10" s="6" t="s">
        <x:v>112</x:v>
      </x:c>
      <x:c r="H10" s="5" t="s">
        <x:v>113</x:v>
      </x:c>
      <x:c r="I10" s="6"/>
      <x:c r="J10" s="5" t="s">
        <x:v>114</x:v>
      </x:c>
    </x:row>
    <x:row r="11" ht="68" customHeight="1">
      <x:c r="A11" s="5" t="s">
        <x:v>115</x:v>
      </x:c>
      <x:c r="B11" s="5" t="s">
        <x:v>116</x:v>
      </x:c>
      <x:c r="C11" s="5" t="s">
        <x:v>86</x:v>
      </x:c>
      <x:c r="D11" s="5" t="s">
        <x:v>117</x:v>
      </x:c>
      <x:c r="E11" s="5" t="s">
        <x:v>118</x:v>
      </x:c>
      <x:c r="F11" s="5" t="s">
        <x:v>119</x:v>
      </x:c>
      <x:c r="G11" s="6" t="s">
        <x:v>120</x:v>
      </x:c>
      <x:c r="H11" s="5" t="s">
        <x:v>121</x:v>
      </x:c>
      <x:c r="I11" s="6"/>
      <x:c r="J11" s="5" t="s">
        <x:v>122</x:v>
      </x:c>
    </x:row>
    <x:row r="12" ht="72" customHeight="1">
      <x:c r="A12" s="5" t="s">
        <x:v>123</x:v>
      </x:c>
      <x:c r="B12" s="5" t="s">
        <x:v>124</x:v>
      </x:c>
      <x:c r="C12" s="5" t="s">
        <x:v>86</x:v>
      </x:c>
      <x:c r="D12" s="5" t="s">
        <x:v>125</x:v>
      </x:c>
      <x:c r="E12" s="5" t="s">
        <x:v>126</x:v>
      </x:c>
      <x:c r="F12" s="5" t="s">
        <x:v>127</x:v>
      </x:c>
      <x:c r="G12" s="6" t="s">
        <x:v>128</x:v>
      </x:c>
      <x:c r="H12" s="5" t="s">
        <x:v>129</x:v>
      </x:c>
      <x:c r="I12" s="6"/>
      <x:c r="J12" s="5" t="s">
        <x:v>130</x:v>
      </x:c>
    </x:row>
    <x:row r="13" ht="60" customHeight="1">
      <x:c r="A13" s="5" t="s">
        <x:v>131</x:v>
      </x:c>
      <x:c r="B13" s="5" t="s">
        <x:v>132</x:v>
      </x:c>
      <x:c r="C13" s="5" t="s">
        <x:v>86</x:v>
      </x:c>
      <x:c r="D13" s="5" t="s">
        <x:v>125</x:v>
      </x:c>
      <x:c r="E13" s="5" t="s">
        <x:v>133</x:v>
      </x:c>
      <x:c r="F13" s="5" t="s">
        <x:v>134</x:v>
      </x:c>
      <x:c r="G13" s="6" t="s">
        <x:v>135</x:v>
      </x:c>
      <x:c r="H13" s="5" t="s">
        <x:v>136</x:v>
      </x:c>
      <x:c r="I13" s="6"/>
      <x:c r="J13" s="5" t="s">
        <x:v>53</x:v>
      </x:c>
    </x:row>
    <x:row r="14" ht="56" customHeight="1">
      <x:c r="A14" s="5" t="s">
        <x:v>137</x:v>
      </x:c>
      <x:c r="B14" s="5" t="s">
        <x:v>138</x:v>
      </x:c>
      <x:c r="C14" s="5" t="s">
        <x:v>86</x:v>
      </x:c>
      <x:c r="D14" s="5" t="s">
        <x:v>125</x:v>
      </x:c>
      <x:c r="E14" s="5" t="s">
        <x:v>139</x:v>
      </x:c>
      <x:c r="F14" s="5" t="s">
        <x:v>140</x:v>
      </x:c>
      <x:c r="G14" s="6" t="s">
        <x:v>141</x:v>
      </x:c>
      <x:c r="H14" s="5" t="s">
        <x:v>142</x:v>
      </x:c>
      <x:c r="I14" s="6"/>
      <x:c r="J14" s="5" t="s">
        <x:v>53</x:v>
      </x:c>
    </x:row>
    <x:row r="15" ht="66" customHeight="1">
      <x:c r="A15" s="5" t="s">
        <x:v>143</x:v>
      </x:c>
      <x:c r="B15" s="5" t="s">
        <x:v>144</x:v>
      </x:c>
      <x:c r="C15" s="5" t="s">
        <x:v>86</x:v>
      </x:c>
      <x:c r="D15" s="5" t="s">
        <x:v>145</x:v>
      </x:c>
      <x:c r="E15" s="5" t="s">
        <x:v>146</x:v>
      </x:c>
      <x:c r="F15" s="5" t="s">
        <x:v>147</x:v>
      </x:c>
      <x:c r="G15" s="6" t="s">
        <x:v>148</x:v>
      </x:c>
      <x:c r="H15" s="5" t="s">
        <x:v>149</x:v>
      </x:c>
      <x:c r="I15" s="6"/>
      <x:c r="J15" s="5" t="s">
        <x:v>122</x:v>
      </x:c>
    </x:row>
    <x:row r="16" ht="85" customHeight="1">
      <x:c r="A16" s="5" t="s">
        <x:v>150</x:v>
      </x:c>
      <x:c r="B16" s="5" t="s">
        <x:v>151</x:v>
      </x:c>
      <x:c r="C16" s="5" t="s">
        <x:v>110</x:v>
      </x:c>
      <x:c r="D16" s="5" t="s">
        <x:v>152</x:v>
      </x:c>
      <x:c r="E16" s="5" t="s">
        <x:v>153</x:v>
      </x:c>
      <x:c r="F16" s="5" t="s">
        <x:v>154</x:v>
      </x:c>
      <x:c r="G16" s="6" t="s">
        <x:v>155</x:v>
      </x:c>
      <x:c r="H16" s="5" t="s">
        <x:v>156</x:v>
      </x:c>
      <x:c r="I16" s="6"/>
      <x:c r="J16" s="5" t="s">
        <x:v>157</x:v>
      </x:c>
    </x:row>
    <x:row r="17" ht="64" customHeight="1">
      <x:c r="A17" s="5" t="s">
        <x:v>158</x:v>
      </x:c>
      <x:c r="B17" s="5" t="s">
        <x:v>159</x:v>
      </x:c>
      <x:c r="C17" s="5" t="s">
        <x:v>160</x:v>
      </x:c>
      <x:c r="D17" s="5" t="s">
        <x:v>161</x:v>
      </x:c>
      <x:c r="E17" s="5" t="s">
        <x:v>162</x:v>
      </x:c>
      <x:c r="F17" s="5" t="s">
        <x:v>163</x:v>
      </x:c>
      <x:c r="G17" s="6" t="s">
        <x:v>164</x:v>
      </x:c>
      <x:c r="H17" s="5" t="s">
        <x:v>165</x:v>
      </x:c>
      <x:c r="I17" s="6"/>
      <x:c r="J17" s="5" t="s">
        <x:v>50</x:v>
      </x:c>
    </x:row>
    <x:row r="18" ht="64" customHeight="1">
      <x:c r="A18" s="5" t="s">
        <x:v>166</x:v>
      </x:c>
      <x:c r="B18" s="5" t="s">
        <x:v>167</x:v>
      </x:c>
      <x:c r="C18" s="5" t="s">
        <x:v>168</x:v>
      </x:c>
      <x:c r="D18" s="5" t="s">
        <x:v>169</x:v>
      </x:c>
      <x:c r="E18" s="5" t="s">
        <x:v>170</x:v>
      </x:c>
      <x:c r="F18" s="5" t="s">
        <x:v>171</x:v>
      </x:c>
      <x:c r="G18" s="6" t="s">
        <x:v>172</x:v>
      </x:c>
      <x:c r="H18" s="5" t="s">
        <x:v>173</x:v>
      </x:c>
      <x:c r="I18" s="6"/>
      <x:c r="J18" s="5" t="s">
        <x:v>59</x:v>
      </x:c>
    </x:row>
    <x:row r="19" ht="64" customHeight="1">
      <x:c r="A19" s="5" t="s">
        <x:v>174</x:v>
      </x:c>
      <x:c r="B19" s="5" t="s">
        <x:v>175</x:v>
      </x:c>
      <x:c r="C19" s="5" t="s">
        <x:v>176</x:v>
      </x:c>
      <x:c r="D19" s="5" t="s">
        <x:v>177</x:v>
      </x:c>
      <x:c r="E19" s="5" t="s">
        <x:v>178</x:v>
      </x:c>
      <x:c r="F19" s="5" t="s">
        <x:v>179</x:v>
      </x:c>
      <x:c r="G19" s="6" t="s">
        <x:v>180</x:v>
      </x:c>
      <x:c r="H19" s="5" t="s">
        <x:v>181</x:v>
      </x:c>
      <x:c r="I19" s="6"/>
      <x:c r="J19" s="5" t="s">
        <x:v>59</x:v>
      </x:c>
    </x:row>
    <x:row r="20" ht="70" customHeight="1">
      <x:c r="A20" s="5" t="s">
        <x:v>182</x:v>
      </x:c>
      <x:c r="B20" s="5" t="s">
        <x:v>183</x:v>
      </x:c>
      <x:c r="C20" s="5" t="s">
        <x:v>86</x:v>
      </x:c>
      <x:c r="D20" s="5" t="s">
        <x:v>184</x:v>
      </x:c>
      <x:c r="E20" s="5" t="s">
        <x:v>185</x:v>
      </x:c>
      <x:c r="F20" s="5" t="s">
        <x:v>186</x:v>
      </x:c>
      <x:c r="G20" s="6" t="s">
        <x:v>187</x:v>
      </x:c>
      <x:c r="H20" s="5" t="s">
        <x:v>188</x:v>
      </x:c>
      <x:c r="I20" s="6"/>
      <x:c r="J20" s="5" t="s">
        <x:v>53</x:v>
      </x:c>
    </x:row>
    <x:row r="21" ht="68" customHeight="1">
      <x:c r="A21" s="5" t="s">
        <x:v>189</x:v>
      </x:c>
      <x:c r="B21" s="5" t="s">
        <x:v>190</x:v>
      </x:c>
      <x:c r="C21" s="5" t="s">
        <x:v>86</x:v>
      </x:c>
      <x:c r="D21" s="5" t="s">
        <x:v>191</x:v>
      </x:c>
      <x:c r="E21" s="5" t="s">
        <x:v>192</x:v>
      </x:c>
      <x:c r="F21" s="5" t="s">
        <x:v>193</x:v>
      </x:c>
      <x:c r="G21" s="6" t="s">
        <x:v>194</x:v>
      </x:c>
      <x:c r="H21" s="5" t="s">
        <x:v>195</x:v>
      </x:c>
      <x:c r="I21" s="6"/>
      <x:c r="J21" s="5" t="s">
        <x:v>122</x:v>
      </x:c>
    </x:row>
    <x:row r="22" ht="64" customHeight="1">
      <x:c r="A22" s="5" t="s">
        <x:v>196</x:v>
      </x:c>
      <x:c r="B22" s="5" t="s">
        <x:v>197</x:v>
      </x:c>
      <x:c r="C22" s="5" t="s">
        <x:v>198</x:v>
      </x:c>
      <x:c r="D22" s="5" t="s">
        <x:v>168</x:v>
      </x:c>
      <x:c r="E22" s="5" t="s">
        <x:v>199</x:v>
      </x:c>
      <x:c r="F22" s="5" t="s">
        <x:v>200</x:v>
      </x:c>
      <x:c r="G22" s="6" t="s">
        <x:v>201</x:v>
      </x:c>
      <x:c r="H22" s="5" t="s">
        <x:v>202</x:v>
      </x:c>
      <x:c r="I22" s="6"/>
      <x:c r="J22" s="5" t="s">
        <x:v>59</x:v>
      </x:c>
    </x:row>
    <x:row r="23" ht="62" customHeight="1">
      <x:c r="A23" s="5" t="s">
        <x:v>203</x:v>
      </x:c>
      <x:c r="B23" s="5" t="s">
        <x:v>204</x:v>
      </x:c>
      <x:c r="C23" s="5" t="s">
        <x:v>205</x:v>
      </x:c>
      <x:c r="D23" s="5" t="s">
        <x:v>206</x:v>
      </x:c>
      <x:c r="E23" s="5" t="s">
        <x:v>207</x:v>
      </x:c>
      <x:c r="F23" s="5" t="s">
        <x:v>208</x:v>
      </x:c>
      <x:c r="G23" s="6" t="s">
        <x:v>209</x:v>
      </x:c>
      <x:c r="H23" s="5" t="s">
        <x:v>210</x:v>
      </x:c>
      <x:c r="I23" s="6"/>
      <x:c r="J23" s="5" t="s">
        <x:v>211</x:v>
      </x:c>
    </x:row>
    <x:row r="24" ht="26" customHeight="1">
      <x:c r="A24" s="1"/>
      <x:c r="B24" s="1"/>
      <x:c r="C24" s="1"/>
      <x:c r="D24" s="1"/>
      <x:c r="E24" s="1"/>
      <x:c r="F24" s="1"/>
      <x:c r="G24" s="1"/>
      <x:c r="H24" s="1"/>
      <x:c r="I24" s="1"/>
      <x:c r="J24" s="1"/>
    </x:row>
    <x:row r="25">
      <x:c r="A25" s="38" t="s">
        <x:v>212</x:v>
      </x:c>
      <x:c r="B25" s="38"/>
      <x:c r="C25" s="38"/>
      <x:c r="D25" s="38"/>
      <x:c r="E25" s="38"/>
      <x:c r="F25" s="38"/>
      <x:c r="G25" s="38"/>
      <x:c r="H25" s="38"/>
      <x:c r="I25" s="38"/>
      <x:c r="J25" s="38"/>
    </x:row>
    <x:row r="26">
      <x:c r="A26" s="38" t="s">
        <x:v>213</x:v>
      </x:c>
      <x:c r="B26" s="38"/>
      <x:c r="C26" s="38"/>
      <x:c r="D26" s="38"/>
      <x:c r="E26" s="38"/>
      <x:c r="F26" s="38"/>
      <x:c r="G26" s="38"/>
      <x:c r="H26" s="38"/>
      <x:c r="I26" s="38"/>
      <x:c r="J26" s="38"/>
    </x:row>
    <x:row r="27">
      <x:c r="A27" s="38" t="s">
        <x:v>214</x:v>
      </x:c>
      <x:c r="B27" s="38"/>
      <x:c r="C27" s="38"/>
      <x:c r="D27" s="38"/>
      <x:c r="E27" s="38"/>
      <x:c r="F27" s="38"/>
      <x:c r="G27" s="38"/>
      <x:c r="H27" s="38"/>
      <x:c r="I27" s="38"/>
      <x:c r="J27" s="38"/>
    </x:row>
    <x:row r="28" ht="26" customHeight="1">
      <x:c r="A28" s="1"/>
      <x:c r="B28" s="1"/>
      <x:c r="C28" s="1"/>
      <x:c r="D28" s="1"/>
      <x:c r="E28" s="1"/>
      <x:c r="F28" s="1"/>
      <x:c r="G28" s="1"/>
      <x:c r="H28" s="1"/>
      <x:c r="I28" s="1"/>
      <x:c r="J28" s="1"/>
    </x:row>
    <x:row r="29" ht="26" customHeight="1">
      <x:c r="A29" s="1"/>
      <x:c r="B29" s="1"/>
      <x:c r="C29" s="1"/>
      <x:c r="D29" s="1"/>
      <x:c r="E29" s="1"/>
      <x:c r="F29" s="1"/>
      <x:c r="G29" s="1"/>
      <x:c r="H29" s="1"/>
      <x:c r="I29" s="1"/>
      <x:c r="J29" s="1"/>
    </x:row>
    <x:row r="30" ht="26" customHeight="1">
      <x:c r="A30" s="1"/>
      <x:c r="B30" s="1"/>
      <x:c r="C30" s="1"/>
      <x:c r="D30" s="1"/>
      <x:c r="E30" s="1"/>
      <x:c r="F30" s="1"/>
      <x:c r="G30" s="1"/>
      <x:c r="H30" s="1"/>
      <x:c r="I30" s="1"/>
      <x:c r="J30" s="1"/>
    </x:row>
  </x:sheetData>
  <x:mergeCells>
    <x:mergeCell ref="A27:J27"/>
    <x:mergeCell ref="A2:J2"/>
    <x:mergeCell ref="A3:J3"/>
    <x:mergeCell ref="A4:J4"/>
    <x:mergeCell ref="A25:J25"/>
    <x:mergeCell ref="A26:J26"/>
  </x:mergeCells>
  <x:pageMargins left="0.7" right="0.7" top="0.75" bottom="0.75" header="0.3" footer="0.3"/>
  <x:tableParts count="1">
    <x:tablePart xmlns:r="http://schemas.openxmlformats.org/officeDocument/2006/relationships" r:id="R58b7eb1cf4704f9f"/>
  </x:tableParts>
</x:worksheet>
</file>

<file path=xl/worksheets/sheet3.xml><?xml version="1.0" encoding="utf-8"?>
<x:worksheet xmlns:x="http://schemas.openxmlformats.org/spreadsheetml/2006/main">
  <x:sheetViews>
    <x:sheetView showGridLines="0" workbookViewId="0"/>
  </x:sheetViews>
  <x:sheetFormatPr defaultRowHeight="14.25"/>
  <x:cols>
    <x:col min="1" max="1" width="12.46484375" customWidth="1"/>
    <x:col min="2" max="2" width="26.86328125" customWidth="1"/>
    <x:col min="3" max="3" width="27.46484375" customWidth="1"/>
    <x:col min="4" max="4" width="12.46484375" customWidth="1"/>
    <x:col min="5" max="6" width="19.3984375" customWidth="1"/>
    <x:col min="7" max="7" width="15" customWidth="1"/>
    <x:col min="8" max="9" width="16.265625" customWidth="1"/>
    <x:col min="10" max="10" width="37.46484375" customWidth="1"/>
    <x:col min="11" max="11" width="13.73046875" customWidth="1"/>
    <x:col min="12" max="12" width="15" customWidth="1"/>
    <x:col min="13" max="13" width="18.73046875" customWidth="1"/>
  </x:cols>
  <x:sheetData>
    <x:row r="1">
      <x:c r="A1" s="1"/>
      <x:c r="B1" s="1"/>
      <x:c r="C1" s="1"/>
      <x:c r="D1" s="1"/>
      <x:c r="E1" s="1"/>
      <x:c r="F1" s="1"/>
      <x:c r="G1" s="1"/>
      <x:c r="H1" s="1"/>
      <x:c r="I1" s="1"/>
      <x:c r="J1" s="1"/>
    </x:row>
    <x:row r="2" ht="20.25">
      <x:c r="A2" s="42" t="s">
        <x:v>215</x:v>
      </x:c>
      <x:c r="B2" s="42"/>
      <x:c r="C2" s="42"/>
      <x:c r="D2" s="42"/>
      <x:c r="E2" s="42"/>
      <x:c r="F2" s="42"/>
      <x:c r="G2" s="42"/>
      <x:c r="H2" s="42"/>
      <x:c r="I2" s="42"/>
      <x:c r="J2" s="42"/>
    </x:row>
    <x:row r="3">
      <x:c r="A3" s="38" t="s">
        <x:v>216</x:v>
      </x:c>
      <x:c r="B3" s="38"/>
      <x:c r="C3" s="38"/>
      <x:c r="D3" s="38"/>
      <x:c r="E3" s="38"/>
      <x:c r="F3" s="38"/>
      <x:c r="G3" s="38"/>
      <x:c r="H3" s="38"/>
      <x:c r="I3" s="38"/>
      <x:c r="J3" s="38"/>
    </x:row>
    <x:row r="4">
      <x:c r="A4" s="38" t="s">
        <x:v>217</x:v>
      </x:c>
      <x:c r="B4" s="38"/>
      <x:c r="C4" s="38"/>
      <x:c r="D4" s="38"/>
      <x:c r="E4" s="38"/>
      <x:c r="F4" s="38"/>
      <x:c r="G4" s="38"/>
      <x:c r="H4" s="38"/>
      <x:c r="I4" s="38"/>
      <x:c r="J4" s="38"/>
    </x:row>
    <x:row r="5">
      <x:c r="A5" s="38" t="s">
        <x:v>218</x:v>
      </x:c>
      <x:c r="B5" s="38"/>
      <x:c r="C5" s="38"/>
      <x:c r="D5" s="38"/>
      <x:c r="E5" s="38"/>
      <x:c r="F5" s="38"/>
      <x:c r="G5" s="38"/>
      <x:c r="H5" s="38"/>
      <x:c r="I5" s="38"/>
      <x:c r="J5" s="38"/>
    </x:row>
    <x:row r="6" ht="50" customHeight="1">
      <x:c r="A6" s="7" t="s">
        <x:v>74</x:v>
      </x:c>
      <x:c r="B6" s="8" t="s">
        <x:v>219</x:v>
      </x:c>
      <x:c r="C6" s="8" t="s">
        <x:v>220</x:v>
      </x:c>
      <x:c r="D6" s="8" t="s">
        <x:v>221</x:v>
      </x:c>
      <x:c r="E6" s="8" t="s">
        <x:v>222</x:v>
      </x:c>
      <x:c r="F6" s="8" t="s">
        <x:v>223</x:v>
      </x:c>
      <x:c r="G6" s="8" t="s">
        <x:v>224</x:v>
      </x:c>
      <x:c r="H6" s="8" t="s">
        <x:v>225</x:v>
      </x:c>
      <x:c r="I6" s="8" t="s">
        <x:v>226</x:v>
      </x:c>
      <x:c r="J6" s="12" t="s">
        <x:v>227</x:v>
      </x:c>
    </x:row>
    <x:row r="7" ht="66" customHeight="1">
      <x:c r="A7" s="13" t="s">
        <x:v>150</x:v>
      </x:c>
      <x:c r="B7" s="5" t="s">
        <x:v>22</x:v>
      </x:c>
      <x:c r="C7" s="5" t="s">
        <x:v>228</x:v>
      </x:c>
      <x:c r="D7" s="37" t="s">
        <x:v>229</x:v>
      </x:c>
      <x:c r="E7" s="70" t="str">
        <x:f>IF(COUNTIFS($A$35:$A$41,D7)&lt;&gt;1,"記録IDを確認",IF(INDEX($M$35:$M$41,MATCH(D7,$A$35:$A$41,0))="不採用","不採用",IF(INDEX($M$35:$M$41,MATCH(D7,$A$35:$A$41,0))="VM全体の値","VM全体値：対象通信未分離",IF(INDEX($M$35:$M$41,MATCH(D7,$A$35:$A$41,0))&lt;&gt;"対象通信を確認済み","対象通信の確認待ち",INDEX($L$35:$L$41,MATCH(D7,$A$35:$A$41,0))))))</x:f>
        <x:v>対象通信の確認待ち</x:v>
      </x:c>
      <x:c r="F7" s="76"/>
      <x:c r="G7" s="63">
        <x:v>1</x:v>
      </x:c>
      <x:c r="H7" s="72" t="str">
        <x:f t="shared" ref="H7:K41" si="0">IF(NOT(ISNUMBER(E7)),"原単位未確定",IF(COUNT(F7:G7)&lt;&gt;2,"数量・頻度入力待ち",IF(OR(F7&lt;=0,MOD(F7,1)&lt;&gt;0,G7&lt;=0),"数量・頻度を確認",E7*F7*G7)))</x:f>
        <x:v>原単位未確定</x:v>
      </x:c>
      <x:c r="I7" s="74" t="str">
        <x:f t="shared" ref="I7:L41" si="1">IF(ISNUMBER(H7),H7*8/86400,"概算未確定")</x:f>
        <x:v>概算未確定</x:v>
      </x:c>
      <x:c r="J7" s="19" t="s">
        <x:v>230</x:v>
      </x:c>
    </x:row>
    <x:row r="8" ht="66" customHeight="1">
      <x:c r="A8" s="13" t="s">
        <x:v>84</x:v>
      </x:c>
      <x:c r="B8" s="5" t="s">
        <x:v>16</x:v>
      </x:c>
      <x:c r="C8" s="5" t="s">
        <x:v>231</x:v>
      </x:c>
      <x:c r="D8" s="5" t="s">
        <x:v>232</x:v>
      </x:c>
      <x:c r="E8" s="70" t="str">
        <x:f>IF(COUNTIFS($A$35:$A$41,D8)&lt;&gt;1,"記録IDを確認",IF(INDEX($M$35:$M$41,MATCH(D8,$A$35:$A$41,0))="不採用","不採用",IF(INDEX($M$35:$M$41,MATCH(D8,$A$35:$A$41,0))="VM全体の値","VM全体値：対象通信未分離",IF(INDEX($M$35:$M$41,MATCH(D8,$A$35:$A$41,0))&lt;&gt;"対象通信を確認済み","対象通信の確認待ち",INDEX($L$35:$L$41,MATCH(D8,$A$35:$A$41,0))))))</x:f>
        <x:v>対象通信の確認待ち</x:v>
      </x:c>
      <x:c r="F8" s="76"/>
      <x:c r="G8" s="63">
        <x:v>1</x:v>
      </x:c>
      <x:c r="H8" s="72" t="str">
        <x:f t="shared" si="0">IF(NOT(ISNUMBER(E8)),"原単位未確定",IF(COUNT(F8:G8)&lt;&gt;2,"数量・頻度入力待ち",IF(OR(F8&lt;=0,MOD(F8,1)&lt;&gt;0,G8&lt;=0),"数量・頻度を確認",E8*F8*G8)))</x:f>
        <x:v>原単位未確定</x:v>
      </x:c>
      <x:c r="I8" s="74" t="str">
        <x:f t="shared" si="1">IF(ISNUMBER(H8),H8*8/86400,"概算未確定")</x:f>
        <x:v>概算未確定</x:v>
      </x:c>
      <x:c r="J8" s="19" t="s">
        <x:v>233</x:v>
      </x:c>
    </x:row>
    <x:row r="9" ht="66" customHeight="1">
      <x:c r="A9" s="13" t="s">
        <x:v>234</x:v>
      </x:c>
      <x:c r="B9" s="5" t="s">
        <x:v>235</x:v>
      </x:c>
      <x:c r="C9" s="5" t="s">
        <x:v>236</x:v>
      </x:c>
      <x:c r="D9" s="5" t="s">
        <x:v>237</x:v>
      </x:c>
      <x:c r="E9" s="70" t="str">
        <x:f>IF(COUNTIFS($A$35:$A$41,D9)&lt;&gt;1,"記録IDを確認",IF(INDEX($M$35:$M$41,MATCH(D9,$A$35:$A$41,0))="不採用","不採用",IF(INDEX($M$35:$M$41,MATCH(D9,$A$35:$A$41,0))="VM全体の値","VM全体値：対象通信未分離",IF(INDEX($M$35:$M$41,MATCH(D9,$A$35:$A$41,0))&lt;&gt;"対象通信を確認済み","対象通信の確認待ち",INDEX($L$35:$L$41,MATCH(D9,$A$35:$A$41,0))))))</x:f>
        <x:v>対象通信の確認待ち</x:v>
      </x:c>
      <x:c r="F9" s="76"/>
      <x:c r="G9" s="63"/>
      <x:c r="H9" s="72" t="str">
        <x:f t="shared" si="0">IF(NOT(ISNUMBER(E9)),"原単位未確定",IF(COUNT(F9:G9)&lt;&gt;2,"数量・頻度入力待ち",IF(OR(F9&lt;=0,MOD(F9,1)&lt;&gt;0,G9&lt;=0),"数量・頻度を確認",E9*F9*G9)))</x:f>
        <x:v>原単位未確定</x:v>
      </x:c>
      <x:c r="I9" s="74" t="str">
        <x:f t="shared" si="1">IF(ISNUMBER(H9),H9*8/86400,"概算未確定")</x:f>
        <x:v>概算未確定</x:v>
      </x:c>
      <x:c r="J9" s="19" t="s">
        <x:v>238</x:v>
      </x:c>
    </x:row>
    <x:row r="10" ht="66" customHeight="1">
      <x:c r="A10" s="13" t="s">
        <x:v>115</x:v>
      </x:c>
      <x:c r="B10" s="5" t="s">
        <x:v>239</x:v>
      </x:c>
      <x:c r="C10" s="5" t="s">
        <x:v>236</x:v>
      </x:c>
      <x:c r="D10" s="5" t="s">
        <x:v>240</x:v>
      </x:c>
      <x:c r="E10" s="70" t="str">
        <x:f>IF(COUNTIFS($A$35:$A$41,D10)&lt;&gt;1,"記録IDを確認",IF(INDEX($M$35:$M$41,MATCH(D10,$A$35:$A$41,0))="不採用","不採用",IF(INDEX($M$35:$M$41,MATCH(D10,$A$35:$A$41,0))="VM全体の値","VM全体値：対象通信未分離",IF(INDEX($M$35:$M$41,MATCH(D10,$A$35:$A$41,0))&lt;&gt;"対象通信を確認済み","対象通信の確認待ち",INDEX($L$35:$L$41,MATCH(D10,$A$35:$A$41,0))))))</x:f>
        <x:v>対象通信の確認待ち</x:v>
      </x:c>
      <x:c r="F10" s="76"/>
      <x:c r="G10" s="63"/>
      <x:c r="H10" s="72" t="str">
        <x:f t="shared" si="0">IF(NOT(ISNUMBER(E10)),"原単位未確定",IF(COUNT(F10:G10)&lt;&gt;2,"数量・頻度入力待ち",IF(OR(F10&lt;=0,MOD(F10,1)&lt;&gt;0,G10&lt;=0),"数量・頻度を確認",E10*F10*G10)))</x:f>
        <x:v>原単位未確定</x:v>
      </x:c>
      <x:c r="I10" s="74" t="str">
        <x:f t="shared" si="1">IF(ISNUMBER(H10),H10*8/86400,"概算未確定")</x:f>
        <x:v>概算未確定</x:v>
      </x:c>
      <x:c r="J10" s="19" t="s">
        <x:v>241</x:v>
      </x:c>
    </x:row>
    <x:row r="11" ht="66" customHeight="1">
      <x:c r="A11" s="13" t="s">
        <x:v>143</x:v>
      </x:c>
      <x:c r="B11" s="5" t="s">
        <x:v>242</x:v>
      </x:c>
      <x:c r="C11" s="5" t="s">
        <x:v>243</x:v>
      </x:c>
      <x:c r="D11" s="5" t="s">
        <x:v>244</x:v>
      </x:c>
      <x:c r="E11" s="70" t="str">
        <x:f>IF(COUNTIFS($A$35:$A$41,D11)&lt;&gt;1,"記録IDを確認",IF(INDEX($M$35:$M$41,MATCH(D11,$A$35:$A$41,0))="不採用","不採用",IF(INDEX($M$35:$M$41,MATCH(D11,$A$35:$A$41,0))="VM全体の値","VM全体値：対象通信未分離",IF(INDEX($M$35:$M$41,MATCH(D11,$A$35:$A$41,0))&lt;&gt;"対象通信を確認済み","対象通信の確認待ち",INDEX($L$35:$L$41,MATCH(D11,$A$35:$A$41,0))))))</x:f>
        <x:v>対象通信の確認待ち</x:v>
      </x:c>
      <x:c r="F11" s="76"/>
      <x:c r="G11" s="63"/>
      <x:c r="H11" s="72" t="str">
        <x:f t="shared" si="0">IF(NOT(ISNUMBER(E11)),"原単位未確定",IF(COUNT(F11:G11)&lt;&gt;2,"数量・頻度入力待ち",IF(OR(F11&lt;=0,MOD(F11,1)&lt;&gt;0,G11&lt;=0),"数量・頻度を確認",E11*F11*G11)))</x:f>
        <x:v>原単位未確定</x:v>
      </x:c>
      <x:c r="I11" s="74" t="str">
        <x:f t="shared" si="1">IF(ISNUMBER(H11),H11*8/86400,"概算未確定")</x:f>
        <x:v>概算未確定</x:v>
      </x:c>
      <x:c r="J11" s="19" t="s">
        <x:v>245</x:v>
      </x:c>
    </x:row>
    <x:row r="12" ht="66" customHeight="1">
      <x:c r="A12" s="13" t="s">
        <x:v>246</x:v>
      </x:c>
      <x:c r="B12" s="5" t="s">
        <x:v>247</x:v>
      </x:c>
      <x:c r="C12" s="5" t="s">
        <x:v>248</x:v>
      </x:c>
      <x:c r="D12" s="5" t="s">
        <x:v>249</x:v>
      </x:c>
      <x:c r="E12" s="70" t="str">
        <x:f>IF(COUNTIFS($A$35:$A$41,D12)&lt;&gt;1,"記録IDを確認",IF(INDEX($M$35:$M$41,MATCH(D12,$A$35:$A$41,0))="不採用","不採用",IF(INDEX($M$35:$M$41,MATCH(D12,$A$35:$A$41,0))="VM全体の値","VM全体値：対象通信未分離",IF(INDEX($M$35:$M$41,MATCH(D12,$A$35:$A$41,0))&lt;&gt;"対象通信を確認済み","対象通信の確認待ち",INDEX($L$35:$L$41,MATCH(D12,$A$35:$A$41,0))))))</x:f>
        <x:v>対象通信の確認待ち</x:v>
      </x:c>
      <x:c r="F12" s="76"/>
      <x:c r="G12" s="63">
        <x:v>1</x:v>
      </x:c>
      <x:c r="H12" s="72" t="str">
        <x:f t="shared" si="0">IF(NOT(ISNUMBER(E12)),"原単位未確定",IF(COUNT(F12:G12)&lt;&gt;2,"数量・頻度入力待ち",IF(OR(F12&lt;=0,MOD(F12,1)&lt;&gt;0,G12&lt;=0),"数量・頻度を確認",E12*F12*G12)))</x:f>
        <x:v>原単位未確定</x:v>
      </x:c>
      <x:c r="I12" s="74" t="str">
        <x:f t="shared" si="1">IF(ISNUMBER(H12),H12*8/86400,"概算未確定")</x:f>
        <x:v>概算未確定</x:v>
      </x:c>
      <x:c r="J12" s="19" t="s">
        <x:v>250</x:v>
      </x:c>
    </x:row>
    <x:row r="13" ht="66" customHeight="1">
      <x:c r="A13" s="20" t="s">
        <x:v>182</x:v>
      </x:c>
      <x:c r="B13" s="11" t="s">
        <x:v>251</x:v>
      </x:c>
      <x:c r="C13" s="11" t="s">
        <x:v>252</x:v>
      </x:c>
      <x:c r="D13" s="11" t="s">
        <x:v>253</x:v>
      </x:c>
      <x:c r="E13" s="71" t="str">
        <x:f>IF(COUNTIFS($A$35:$A$41,D13)&lt;&gt;1,"記録IDを確認",IF(INDEX($M$35:$M$41,MATCH(D13,$A$35:$A$41,0))="不採用","不採用",IF(INDEX($M$35:$M$41,MATCH(D13,$A$35:$A$41,0))="VM全体の値","VM全体値：対象通信未分離",IF(INDEX($M$35:$M$41,MATCH(D13,$A$35:$A$41,0))&lt;&gt;"対象通信を確認済み","対象通信の確認待ち",INDEX($L$35:$L$41,MATCH(D13,$A$35:$A$41,0))))))</x:f>
        <x:v>対象通信の確認待ち</x:v>
      </x:c>
      <x:c r="F13" s="77"/>
      <x:c r="G13" s="65"/>
      <x:c r="H13" s="73" t="str">
        <x:f t="shared" si="0">IF(NOT(ISNUMBER(E13)),"原単位未確定",IF(COUNT(F13:G13)&lt;&gt;2,"数量・頻度入力待ち",IF(OR(F13&lt;=0,MOD(F13,1)&lt;&gt;0,G13&lt;=0),"数量・頻度を確認",E13*F13*G13)))</x:f>
        <x:v>原単位未確定</x:v>
      </x:c>
      <x:c r="I13" s="75" t="str">
        <x:f t="shared" si="1">IF(ISNUMBER(H13),H13*8/86400,"概算未確定")</x:f>
        <x:v>概算未確定</x:v>
      </x:c>
      <x:c r="J13" s="26" t="s">
        <x:v>254</x:v>
      </x:c>
    </x:row>
    <x:row r="14">
      <x:c r="A14" s="1"/>
      <x:c r="B14" s="1"/>
      <x:c r="C14" s="1"/>
      <x:c r="D14" s="1"/>
      <x:c r="E14" s="1"/>
      <x:c r="F14" s="1"/>
      <x:c r="G14" s="1"/>
      <x:c r="H14" s="1"/>
      <x:c r="I14" s="1"/>
      <x:c r="J14" s="1"/>
    </x:row>
    <x:row r="15" ht="14.649999618530273">
      <x:c r="A15" s="41" t="s">
        <x:v>255</x:v>
      </x:c>
      <x:c r="B15" s="41"/>
      <x:c r="C15" s="41"/>
      <x:c r="D15" s="41"/>
      <x:c r="E15" s="41"/>
      <x:c r="F15" s="41"/>
      <x:c r="G15" s="41"/>
      <x:c r="H15" s="41"/>
      <x:c r="I15" s="41"/>
      <x:c r="J15" s="41"/>
    </x:row>
    <x:row r="16">
      <x:c r="A16" s="38" t="s">
        <x:v>256</x:v>
      </x:c>
      <x:c r="B16" s="38"/>
      <x:c r="C16" s="38"/>
      <x:c r="D16" s="38"/>
      <x:c r="E16" s="38"/>
      <x:c r="F16" s="38"/>
      <x:c r="G16" s="38"/>
      <x:c r="H16" s="38"/>
      <x:c r="I16" s="38"/>
      <x:c r="J16" s="38"/>
    </x:row>
    <x:row r="17">
      <x:c r="A17" s="38" t="s">
        <x:v>257</x:v>
      </x:c>
      <x:c r="B17" s="38"/>
      <x:c r="C17" s="38"/>
      <x:c r="D17" s="38"/>
      <x:c r="E17" s="38"/>
      <x:c r="F17" s="38"/>
      <x:c r="G17" s="38"/>
      <x:c r="H17" s="38"/>
      <x:c r="I17" s="38"/>
      <x:c r="J17" s="38"/>
    </x:row>
    <x:row r="18">
      <x:c r="A18" s="38" t="s">
        <x:v>258</x:v>
      </x:c>
      <x:c r="B18" s="38"/>
      <x:c r="C18" s="38"/>
      <x:c r="D18" s="38"/>
      <x:c r="E18" s="38"/>
      <x:c r="F18" s="38"/>
      <x:c r="G18" s="38"/>
      <x:c r="H18" s="38"/>
      <x:c r="I18" s="38"/>
      <x:c r="J18" s="38"/>
    </x:row>
    <x:row r="19">
      <x:c r="A19" s="38" t="s">
        <x:v>259</x:v>
      </x:c>
      <x:c r="B19" s="38"/>
      <x:c r="C19" s="38"/>
      <x:c r="D19" s="38"/>
      <x:c r="E19" s="38"/>
      <x:c r="F19" s="38"/>
      <x:c r="G19" s="38"/>
      <x:c r="H19" s="38"/>
      <x:c r="I19" s="38"/>
      <x:c r="J19" s="38"/>
    </x:row>
    <x:row r="20">
      <x:c r="A20" s="38" t="s">
        <x:v>260</x:v>
      </x:c>
      <x:c r="B20" s="38"/>
      <x:c r="C20" s="38"/>
      <x:c r="D20" s="38"/>
      <x:c r="E20" s="38"/>
      <x:c r="F20" s="38"/>
      <x:c r="G20" s="38"/>
      <x:c r="H20" s="38"/>
      <x:c r="I20" s="38"/>
      <x:c r="J20" s="38"/>
    </x:row>
    <x:row r="21">
      <x:c r="A21" s="1"/>
      <x:c r="B21" s="1"/>
      <x:c r="C21" s="1"/>
      <x:c r="D21" s="1"/>
      <x:c r="E21" s="1"/>
      <x:c r="F21" s="1"/>
      <x:c r="G21" s="1"/>
      <x:c r="H21" s="1"/>
      <x:c r="I21" s="1"/>
      <x:c r="J21" s="1"/>
    </x:row>
    <x:row r="22">
      <x:c r="A22" s="38" t="s">
        <x:v>261</x:v>
      </x:c>
      <x:c r="B22" s="38"/>
      <x:c r="C22" s="38"/>
      <x:c r="D22" s="38"/>
      <x:c r="E22" s="38"/>
      <x:c r="F22" s="38"/>
      <x:c r="G22" s="38"/>
      <x:c r="H22" s="38"/>
      <x:c r="I22" s="38"/>
      <x:c r="J22" s="38"/>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c r="K25" s="1"/>
      <x:c r="L25" s="1"/>
      <x:c r="M25" s="1"/>
    </x:row>
    <x:row r="26" ht="20.25">
      <x:c r="A26" s="42" t="s">
        <x:v>262</x:v>
      </x:c>
      <x:c r="B26" s="42"/>
      <x:c r="C26" s="42"/>
      <x:c r="D26" s="42"/>
      <x:c r="E26" s="42"/>
      <x:c r="F26" s="42"/>
      <x:c r="G26" s="42"/>
      <x:c r="H26" s="42"/>
      <x:c r="I26" s="42"/>
      <x:c r="J26" s="42"/>
      <x:c r="K26" s="42"/>
      <x:c r="L26" s="42"/>
      <x:c r="M26" s="42"/>
    </x:row>
    <x:row r="27">
      <x:c r="A27" s="38" t="s">
        <x:v>263</x:v>
      </x:c>
      <x:c r="B27" s="38"/>
      <x:c r="C27" s="38"/>
      <x:c r="D27" s="38"/>
      <x:c r="E27" s="38"/>
      <x:c r="F27" s="38"/>
      <x:c r="G27" s="38"/>
      <x:c r="H27" s="38"/>
      <x:c r="I27" s="38"/>
      <x:c r="J27" s="38"/>
      <x:c r="K27" s="38"/>
      <x:c r="L27" s="38"/>
      <x:c r="M27" s="38"/>
    </x:row>
    <x:row r="28">
      <x:c r="A28" s="43" t="s">
        <x:v>264</x:v>
      </x:c>
      <x:c r="B28" s="43"/>
      <x:c r="C28" s="43"/>
      <x:c r="D28" s="43"/>
      <x:c r="E28" s="43"/>
      <x:c r="F28" s="43"/>
      <x:c r="G28" s="43"/>
      <x:c r="H28" s="43"/>
      <x:c r="I28" s="43"/>
      <x:c r="J28" s="43"/>
      <x:c r="K28" s="43"/>
      <x:c r="L28" s="43"/>
      <x:c r="M28" s="43"/>
    </x:row>
    <x:row r="29">
      <x:c r="A29" s="38" t="s">
        <x:v>265</x:v>
      </x:c>
      <x:c r="B29" s="38"/>
      <x:c r="C29" s="38"/>
      <x:c r="D29" s="38"/>
      <x:c r="E29" s="38"/>
      <x:c r="F29" s="38"/>
      <x:c r="G29" s="38"/>
      <x:c r="H29" s="38"/>
      <x:c r="I29" s="38"/>
      <x:c r="J29" s="38"/>
      <x:c r="K29" s="38"/>
      <x:c r="L29" s="38"/>
      <x:c r="M29" s="38"/>
    </x:row>
    <x:row r="30">
      <x:c r="A30" s="38" t="s">
        <x:v>266</x:v>
      </x:c>
      <x:c r="B30" s="38"/>
      <x:c r="C30" s="38"/>
      <x:c r="D30" s="38"/>
      <x:c r="E30" s="38"/>
      <x:c r="F30" s="38"/>
      <x:c r="G30" s="38"/>
      <x:c r="H30" s="38"/>
      <x:c r="I30" s="38"/>
      <x:c r="J30" s="38"/>
      <x:c r="K30" s="38"/>
      <x:c r="L30" s="38"/>
      <x:c r="M30" s="38"/>
    </x:row>
    <x:row r="31">
      <x:c r="A31" s="38" t="s">
        <x:v>267</x:v>
      </x:c>
      <x:c r="B31" s="38"/>
      <x:c r="C31" s="38"/>
      <x:c r="D31" s="38"/>
      <x:c r="E31" s="38"/>
      <x:c r="F31" s="38"/>
      <x:c r="G31" s="38"/>
      <x:c r="H31" s="38"/>
      <x:c r="I31" s="38"/>
      <x:c r="J31" s="38"/>
      <x:c r="K31" s="38"/>
      <x:c r="L31" s="38"/>
      <x:c r="M31" s="38"/>
    </x:row>
    <x:row r="32">
      <x:c r="A32" s="1"/>
      <x:c r="B32" s="1"/>
      <x:c r="C32" s="1"/>
      <x:c r="D32" s="1"/>
      <x:c r="E32" s="1"/>
      <x:c r="F32" s="1"/>
      <x:c r="G32" s="1"/>
      <x:c r="H32" s="1"/>
      <x:c r="I32" s="1"/>
      <x:c r="J32" s="1"/>
      <x:c r="K32" s="1"/>
      <x:c r="L32" s="1"/>
      <x:c r="M32" s="1"/>
    </x:row>
    <x:row r="33">
      <x:c r="A33" s="1"/>
      <x:c r="B33" s="1"/>
      <x:c r="C33" s="1"/>
      <x:c r="D33" s="1"/>
      <x:c r="E33" s="1"/>
      <x:c r="F33" s="1"/>
      <x:c r="G33" s="1"/>
      <x:c r="H33" s="1"/>
      <x:c r="I33" s="1"/>
      <x:c r="J33" s="1"/>
      <x:c r="K33" s="1"/>
      <x:c r="L33" s="1"/>
      <x:c r="M33" s="1"/>
    </x:row>
    <x:row r="34" ht="58" customHeight="1">
      <x:c r="A34" s="7" t="s">
        <x:v>268</x:v>
      </x:c>
      <x:c r="B34" s="8" t="s">
        <x:v>74</x:v>
      </x:c>
      <x:c r="C34" s="8" t="s">
        <x:v>269</x:v>
      </x:c>
      <x:c r="D34" s="8" t="s">
        <x:v>270</x:v>
      </x:c>
      <x:c r="E34" s="8" t="s">
        <x:v>271</x:v>
      </x:c>
      <x:c r="F34" s="8" t="s">
        <x:v>272</x:v>
      </x:c>
      <x:c r="G34" s="8" t="s">
        <x:v>273</x:v>
      </x:c>
      <x:c r="H34" s="8" t="s">
        <x:v>274</x:v>
      </x:c>
      <x:c r="I34" s="8" t="s">
        <x:v>275</x:v>
      </x:c>
      <x:c r="J34" s="8" t="s">
        <x:v>276</x:v>
      </x:c>
      <x:c r="K34" s="8" t="s">
        <x:v>277</x:v>
      </x:c>
      <x:c r="L34" s="8" t="s">
        <x:v>278</x:v>
      </x:c>
      <x:c r="M34" s="12" t="s">
        <x:v>279</x:v>
      </x:c>
    </x:row>
    <x:row r="35" ht="64" customHeight="1">
      <x:c r="A35" s="13" t="s">
        <x:v>229</x:v>
      </x:c>
      <x:c r="B35" s="5" t="s">
        <x:v>150</x:v>
      </x:c>
      <x:c r="C35" s="5" t="s">
        <x:v>280</x:v>
      </x:c>
      <x:c r="D35" s="6" t="s">
        <x:v>22</x:v>
      </x:c>
      <x:c r="E35" s="66"/>
      <x:c r="F35" s="66"/>
      <x:c r="G35" s="68">
        <x:v>1</x:v>
      </x:c>
      <x:c r="H35" s="55" t="str">
        <x:f>IF(COUNT(E35:F35)&lt;&gt;2,"日時入力待ち",IF(OR(E35&lt;DATE(2000,1,1),F35&lt;DATE(2000,1,1)),"測定日時を確認",IF(F35&lt;=E35,"終了日時を確認",F35-E35)))</x:f>
        <x:v>日時入力待ち</x:v>
      </x:c>
      <x:c r="I35" s="49"/>
      <x:c r="J35" s="49"/>
      <x:c r="K35" s="70" t="str">
        <x:f>IF(COUNT(I35:J35)&lt;&gt;2,"受信・送信入力待ち",IF(OR(I35&lt;0,J35&lt;0),"Bytesを確認",(I35+J35)/1000000))</x:f>
        <x:v>受信・送信入力待ち</x:v>
      </x:c>
      <x:c r="L35" s="70" t="str">
        <x:f>IF(NOT(ISNUMBER(K35)),K35,IF(COUNT(E35:F35)&lt;&gt;2,"日時入力待ち",IF(OR(E35&lt;DATE(2000,1,1),F35&lt;DATE(2000,1,1)),"測定日時を確認",IF(F35&lt;=E35,"終了日時を確認",IF(NOT(ISNUMBER(G35)),"台数入力待ち",IF(OR(G35&lt;=0,MOD(G35,1)&lt;&gt;0),"台数を確認",IF(NOT(ISNUMBER(H35)),"日数・回数を確認",IF(H35&lt;=0,"日数・回数を確認",K35/G35/H35))))))))</x:f>
        <x:v>受信・送信入力待ち</x:v>
      </x:c>
      <x:c r="M35" s="51" t="s">
        <x:v>281</x:v>
      </x:c>
    </x:row>
    <x:row r="36" ht="64" customHeight="1">
      <x:c r="A36" s="13" t="s">
        <x:v>232</x:v>
      </x:c>
      <x:c r="B36" s="5" t="s">
        <x:v>84</x:v>
      </x:c>
      <x:c r="C36" s="5" t="s">
        <x:v>280</x:v>
      </x:c>
      <x:c r="D36" s="6" t="s">
        <x:v>16</x:v>
      </x:c>
      <x:c r="E36" s="66"/>
      <x:c r="F36" s="66"/>
      <x:c r="G36" s="68">
        <x:v>1</x:v>
      </x:c>
      <x:c r="H36" s="55" t="str">
        <x:f>IF(COUNT(E36:F36)&lt;&gt;2,"日時入力待ち",IF(OR(E36&lt;DATE(2000,1,1),F36&lt;DATE(2000,1,1)),"測定日時を確認",IF(F36&lt;=E36,"終了日時を確認",F36-E36)))</x:f>
        <x:v>日時入力待ち</x:v>
      </x:c>
      <x:c r="I36" s="49"/>
      <x:c r="J36" s="49"/>
      <x:c r="K36" s="70" t="str">
        <x:f t="shared" si="0">IF(COUNT(I36:J36)&lt;&gt;2,"受信・送信入力待ち",IF(OR(I36&lt;0,J36&lt;0),"Bytesを確認",(I36+J36)/1000000))</x:f>
        <x:v>受信・送信入力待ち</x:v>
      </x:c>
      <x:c r="L36" s="70" t="str">
        <x:f t="shared" si="1">IF(NOT(ISNUMBER(K36)),K36,IF(COUNT(E36:F36)&lt;&gt;2,"日時入力待ち",IF(OR(E36&lt;DATE(2000,1,1),F36&lt;DATE(2000,1,1)),"測定日時を確認",IF(F36&lt;=E36,"終了日時を確認",IF(NOT(ISNUMBER(G36)),"台数入力待ち",IF(OR(G36&lt;=0,MOD(G36,1)&lt;&gt;0),"台数を確認",IF(NOT(ISNUMBER(H36)),"日数・回数を確認",IF(H36&lt;=0,"日数・回数を確認",K36/G36/H36))))))))</x:f>
        <x:v>受信・送信入力待ち</x:v>
      </x:c>
      <x:c r="M36" s="51" t="s">
        <x:v>281</x:v>
      </x:c>
    </x:row>
    <x:row r="37" ht="64" customHeight="1">
      <x:c r="A37" s="13" t="s">
        <x:v>237</x:v>
      </x:c>
      <x:c r="B37" s="5" t="s">
        <x:v>234</x:v>
      </x:c>
      <x:c r="C37" s="5" t="s">
        <x:v>282</x:v>
      </x:c>
      <x:c r="D37" s="6" t="s">
        <x:v>235</x:v>
      </x:c>
      <x:c r="E37" s="66"/>
      <x:c r="F37" s="66"/>
      <x:c r="G37" s="68"/>
      <x:c r="H37" s="53"/>
      <x:c r="I37" s="49"/>
      <x:c r="J37" s="49"/>
      <x:c r="K37" s="70" t="str">
        <x:f t="shared" si="0">IF(COUNT(I37:J37)&lt;&gt;2,"受信・送信入力待ち",IF(OR(I37&lt;0,J37&lt;0),"Bytesを確認",(I37+J37)/1000000))</x:f>
        <x:v>受信・送信入力待ち</x:v>
      </x:c>
      <x:c r="L37" s="70" t="str">
        <x:f t="shared" si="1">IF(NOT(ISNUMBER(K37)),K37,IF(COUNT(E37:F37)&lt;&gt;2,"日時入力待ち",IF(OR(E37&lt;DATE(2000,1,1),F37&lt;DATE(2000,1,1)),"測定日時を確認",IF(F37&lt;=E37,"終了日時を確認",IF(NOT(ISNUMBER(G37)),"台数入力待ち",IF(OR(G37&lt;=0,MOD(G37,1)&lt;&gt;0),"台数を確認",IF(NOT(ISNUMBER(H37)),"日数・回数を確認",IF(H37&lt;=0,"日数・回数を確認",K37/G37/H37))))))))</x:f>
        <x:v>受信・送信入力待ち</x:v>
      </x:c>
      <x:c r="M37" s="51" t="s">
        <x:v>281</x:v>
      </x:c>
    </x:row>
    <x:row r="38" ht="64" customHeight="1">
      <x:c r="A38" s="13" t="s">
        <x:v>240</x:v>
      </x:c>
      <x:c r="B38" s="5" t="s">
        <x:v>115</x:v>
      </x:c>
      <x:c r="C38" s="5" t="s">
        <x:v>282</x:v>
      </x:c>
      <x:c r="D38" s="6" t="s">
        <x:v>239</x:v>
      </x:c>
      <x:c r="E38" s="66"/>
      <x:c r="F38" s="66"/>
      <x:c r="G38" s="68"/>
      <x:c r="H38" s="53"/>
      <x:c r="I38" s="49"/>
      <x:c r="J38" s="49"/>
      <x:c r="K38" s="70" t="str">
        <x:f t="shared" si="0">IF(COUNT(I38:J38)&lt;&gt;2,"受信・送信入力待ち",IF(OR(I38&lt;0,J38&lt;0),"Bytesを確認",(I38+J38)/1000000))</x:f>
        <x:v>受信・送信入力待ち</x:v>
      </x:c>
      <x:c r="L38" s="70" t="str">
        <x:f t="shared" si="1">IF(NOT(ISNUMBER(K38)),K38,IF(COUNT(E38:F38)&lt;&gt;2,"日時入力待ち",IF(OR(E38&lt;DATE(2000,1,1),F38&lt;DATE(2000,1,1)),"測定日時を確認",IF(F38&lt;=E38,"終了日時を確認",IF(NOT(ISNUMBER(G38)),"台数入力待ち",IF(OR(G38&lt;=0,MOD(G38,1)&lt;&gt;0),"台数を確認",IF(NOT(ISNUMBER(H38)),"日数・回数を確認",IF(H38&lt;=0,"日数・回数を確認",K38/G38/H38))))))))</x:f>
        <x:v>受信・送信入力待ち</x:v>
      </x:c>
      <x:c r="M38" s="51" t="s">
        <x:v>281</x:v>
      </x:c>
    </x:row>
    <x:row r="39" ht="64" customHeight="1">
      <x:c r="A39" s="13" t="s">
        <x:v>244</x:v>
      </x:c>
      <x:c r="B39" s="5" t="s">
        <x:v>143</x:v>
      </x:c>
      <x:c r="C39" s="5" t="s">
        <x:v>282</x:v>
      </x:c>
      <x:c r="D39" s="6" t="s">
        <x:v>242</x:v>
      </x:c>
      <x:c r="E39" s="66"/>
      <x:c r="F39" s="66"/>
      <x:c r="G39" s="68"/>
      <x:c r="H39" s="53"/>
      <x:c r="I39" s="49"/>
      <x:c r="J39" s="49"/>
      <x:c r="K39" s="70" t="str">
        <x:f t="shared" si="0">IF(COUNT(I39:J39)&lt;&gt;2,"受信・送信入力待ち",IF(OR(I39&lt;0,J39&lt;0),"Bytesを確認",(I39+J39)/1000000))</x:f>
        <x:v>受信・送信入力待ち</x:v>
      </x:c>
      <x:c r="L39" s="70" t="str">
        <x:f t="shared" si="1">IF(NOT(ISNUMBER(K39)),K39,IF(COUNT(E39:F39)&lt;&gt;2,"日時入力待ち",IF(OR(E39&lt;DATE(2000,1,1),F39&lt;DATE(2000,1,1)),"測定日時を確認",IF(F39&lt;=E39,"終了日時を確認",IF(NOT(ISNUMBER(G39)),"台数入力待ち",IF(OR(G39&lt;=0,MOD(G39,1)&lt;&gt;0),"台数を確認",IF(NOT(ISNUMBER(H39)),"日数・回数を確認",IF(H39&lt;=0,"日数・回数を確認",K39/G39/H39))))))))</x:f>
        <x:v>受信・送信入力待ち</x:v>
      </x:c>
      <x:c r="M39" s="51" t="s">
        <x:v>281</x:v>
      </x:c>
    </x:row>
    <x:row r="40" ht="64" customHeight="1">
      <x:c r="A40" s="13" t="s">
        <x:v>249</x:v>
      </x:c>
      <x:c r="B40" s="5" t="s">
        <x:v>246</x:v>
      </x:c>
      <x:c r="C40" s="5" t="s">
        <x:v>280</x:v>
      </x:c>
      <x:c r="D40" s="6" t="s">
        <x:v>247</x:v>
      </x:c>
      <x:c r="E40" s="66"/>
      <x:c r="F40" s="66"/>
      <x:c r="G40" s="68"/>
      <x:c r="H40" s="55" t="str">
        <x:f>IF(COUNT(E40:F40)&lt;&gt;2,"日時入力待ち",IF(OR(E40&lt;DATE(2000,1,1),F40&lt;DATE(2000,1,1)),"測定日時を確認",IF(F40&lt;=E40,"終了日時を確認",F40-E40)))</x:f>
        <x:v>日時入力待ち</x:v>
      </x:c>
      <x:c r="I40" s="49"/>
      <x:c r="J40" s="49"/>
      <x:c r="K40" s="70" t="str">
        <x:f t="shared" si="0">IF(COUNT(I40:J40)&lt;&gt;2,"受信・送信入力待ち",IF(OR(I40&lt;0,J40&lt;0),"Bytesを確認",(I40+J40)/1000000))</x:f>
        <x:v>受信・送信入力待ち</x:v>
      </x:c>
      <x:c r="L40" s="70" t="str">
        <x:f t="shared" si="1">IF(NOT(ISNUMBER(K40)),K40,IF(COUNT(E40:F40)&lt;&gt;2,"日時入力待ち",IF(OR(E40&lt;DATE(2000,1,1),F40&lt;DATE(2000,1,1)),"測定日時を確認",IF(F40&lt;=E40,"終了日時を確認",IF(NOT(ISNUMBER(G40)),"台数入力待ち",IF(OR(G40&lt;=0,MOD(G40,1)&lt;&gt;0),"台数を確認",IF(NOT(ISNUMBER(H40)),"日数・回数を確認",IF(H40&lt;=0,"日数・回数を確認",K40/G40/H40))))))))</x:f>
        <x:v>受信・送信入力待ち</x:v>
      </x:c>
      <x:c r="M40" s="51" t="s">
        <x:v>281</x:v>
      </x:c>
    </x:row>
    <x:row r="41" ht="64" customHeight="1">
      <x:c r="A41" s="20" t="s">
        <x:v>253</x:v>
      </x:c>
      <x:c r="B41" s="11" t="s">
        <x:v>182</x:v>
      </x:c>
      <x:c r="C41" s="11" t="s">
        <x:v>283</x:v>
      </x:c>
      <x:c r="D41" s="32" t="s">
        <x:v>251</x:v>
      </x:c>
      <x:c r="E41" s="67"/>
      <x:c r="F41" s="67"/>
      <x:c r="G41" s="69"/>
      <x:c r="H41" s="54"/>
      <x:c r="I41" s="50"/>
      <x:c r="J41" s="50"/>
      <x:c r="K41" s="71" t="str">
        <x:f t="shared" si="0">IF(COUNT(I41:J41)&lt;&gt;2,"受信・送信入力待ち",IF(OR(I41&lt;0,J41&lt;0),"Bytesを確認",(I41+J41)/1000000))</x:f>
        <x:v>受信・送信入力待ち</x:v>
      </x:c>
      <x:c r="L41" s="71" t="str">
        <x:f t="shared" si="1">IF(NOT(ISNUMBER(K41)),K41,IF(COUNT(E41:F41)&lt;&gt;2,"日時入力待ち",IF(OR(E41&lt;DATE(2000,1,1),F41&lt;DATE(2000,1,1)),"測定日時を確認",IF(F41&lt;=E41,"終了日時を確認",IF(NOT(ISNUMBER(G41)),"台数入力待ち",IF(OR(G41&lt;=0,MOD(G41,1)&lt;&gt;0),"台数を確認",IF(NOT(ISNUMBER(H41)),"日数・回数を確認",IF(H41&lt;=0,"日数・回数を確認",K41/G41/H41))))))))</x:f>
        <x:v>受信・送信入力待ち</x:v>
      </x:c>
      <x:c r="M41" s="52" t="s">
        <x:v>281</x:v>
      </x:c>
    </x:row>
    <x:row r="42">
      <x:c r="A42" s="1"/>
      <x:c r="B42" s="1"/>
      <x:c r="C42" s="1"/>
      <x:c r="D42" s="1"/>
      <x:c r="E42" s="1"/>
      <x:c r="F42" s="1"/>
      <x:c r="G42" s="1"/>
      <x:c r="H42" s="1"/>
      <x:c r="I42" s="1"/>
      <x:c r="J42" s="1"/>
      <x:c r="K42" s="1"/>
      <x:c r="L42" s="1"/>
      <x:c r="M42" s="1"/>
    </x:row>
    <x:row r="43" ht="14.649999618530273">
      <x:c r="A43" s="41" t="s">
        <x:v>284</x:v>
      </x:c>
      <x:c r="B43" s="41"/>
      <x:c r="C43" s="41"/>
      <x:c r="D43" s="41"/>
      <x:c r="E43" s="41"/>
      <x:c r="F43" s="41"/>
      <x:c r="G43" s="41"/>
      <x:c r="H43" s="41"/>
      <x:c r="I43" s="41"/>
      <x:c r="J43" s="41"/>
      <x:c r="K43" s="41"/>
      <x:c r="L43" s="41"/>
      <x:c r="M43" s="41"/>
    </x:row>
    <x:row r="44">
      <x:c r="A44" s="38" t="s">
        <x:v>285</x:v>
      </x:c>
      <x:c r="B44" s="38"/>
      <x:c r="C44" s="38"/>
      <x:c r="D44" s="38"/>
      <x:c r="E44" s="38"/>
      <x:c r="F44" s="38"/>
      <x:c r="G44" s="38"/>
      <x:c r="H44" s="38"/>
      <x:c r="I44" s="38"/>
      <x:c r="J44" s="38"/>
      <x:c r="K44" s="38"/>
      <x:c r="L44" s="38"/>
      <x:c r="M44" s="38"/>
    </x:row>
    <x:row r="45">
      <x:c r="A45" s="38" t="s">
        <x:v>286</x:v>
      </x:c>
      <x:c r="B45" s="38"/>
      <x:c r="C45" s="38"/>
      <x:c r="D45" s="38"/>
      <x:c r="E45" s="38"/>
      <x:c r="F45" s="38"/>
      <x:c r="G45" s="38"/>
      <x:c r="H45" s="38"/>
      <x:c r="I45" s="38"/>
      <x:c r="J45" s="38"/>
      <x:c r="K45" s="38"/>
      <x:c r="L45" s="38"/>
      <x:c r="M45" s="38"/>
    </x:row>
    <x:row r="46">
      <x:c r="A46" s="38" t="s">
        <x:v>287</x:v>
      </x:c>
      <x:c r="B46" s="38"/>
      <x:c r="C46" s="38"/>
      <x:c r="D46" s="38"/>
      <x:c r="E46" s="38"/>
      <x:c r="F46" s="38"/>
      <x:c r="G46" s="38"/>
      <x:c r="H46" s="38"/>
      <x:c r="I46" s="38"/>
      <x:c r="J46" s="38"/>
      <x:c r="K46" s="38"/>
      <x:c r="L46" s="38"/>
      <x:c r="M46" s="38"/>
    </x:row>
    <x:row r="47">
      <x:c r="A47" s="38" t="s">
        <x:v>288</x:v>
      </x:c>
      <x:c r="B47" s="38"/>
      <x:c r="C47" s="38"/>
      <x:c r="D47" s="38"/>
      <x:c r="E47" s="38"/>
      <x:c r="F47" s="38"/>
      <x:c r="G47" s="38"/>
      <x:c r="H47" s="38"/>
      <x:c r="I47" s="38"/>
      <x:c r="J47" s="38"/>
      <x:c r="K47" s="38"/>
      <x:c r="L47" s="38"/>
      <x:c r="M47" s="38"/>
    </x:row>
    <x:row r="48">
      <x:c r="A48" s="38" t="s">
        <x:v>289</x:v>
      </x:c>
      <x:c r="B48" s="38"/>
      <x:c r="C48" s="38"/>
      <x:c r="D48" s="38"/>
      <x:c r="E48" s="38"/>
      <x:c r="F48" s="38"/>
      <x:c r="G48" s="38"/>
      <x:c r="H48" s="38"/>
      <x:c r="I48" s="38"/>
      <x:c r="J48" s="38"/>
      <x:c r="K48" s="38"/>
      <x:c r="L48" s="38"/>
      <x:c r="M48" s="38"/>
    </x:row>
  </x:sheetData>
  <x:mergeCells>
    <x:mergeCell ref="A2:J2"/>
    <x:mergeCell ref="A3:J3"/>
    <x:mergeCell ref="A4:J4"/>
    <x:mergeCell ref="A5:J5"/>
    <x:mergeCell ref="A15:J15"/>
    <x:mergeCell ref="A22:J22"/>
    <x:mergeCell ref="A16:J16"/>
    <x:mergeCell ref="A17:J17"/>
    <x:mergeCell ref="A18:J18"/>
    <x:mergeCell ref="A19:J19"/>
    <x:mergeCell ref="A20:J20"/>
    <x:mergeCell ref="A26:M26"/>
    <x:mergeCell ref="A27:M27"/>
    <x:mergeCell ref="A28:M28"/>
    <x:mergeCell ref="A29:M29"/>
    <x:mergeCell ref="A30:M30"/>
    <x:mergeCell ref="A47:M47"/>
    <x:mergeCell ref="A48:M48"/>
    <x:mergeCell ref="A31:M31"/>
    <x:mergeCell ref="A43:M43"/>
    <x:mergeCell ref="A44:M44"/>
    <x:mergeCell ref="A45:M45"/>
    <x:mergeCell ref="A46:M46"/>
  </x:mergeCells>
  <x:dataValidations count="1">
    <x:dataValidation type="list" sqref="M35:M41">
      <x:formula1>"未測定,対象通信を確認済み,VM全体の値,不採用"</x:formula1>
    </x:dataValidation>
  </x:dataValidations>
  <x:pageMargins left="0.7" right="0.7" top="0.75" bottom="0.75" header="0.3" footer="0.3"/>
  <x:tableParts count="2">
    <x:tablePart xmlns:r="http://schemas.openxmlformats.org/officeDocument/2006/relationships" r:id="R30873a806efd41da"/>
    <x:tablePart xmlns:r="http://schemas.openxmlformats.org/officeDocument/2006/relationships" r:id="R534f8b3da18549bb"/>
  </x:tableParts>
</x:worksheet>
</file>