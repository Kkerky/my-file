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学习清单" sheetId="1" state="visible" r:id="rId3"/>
    <sheet name="流程×测试观点" sheetId="2" state="visible" r:id="rId4"/>
    <sheet name="关键词" sheetId="3" state="visible" r:id="rId5"/>
    <sheet name="资料一览" sheetId="4" state="visible" r:id="rId6"/>
  </sheets>
  <definedNames>
    <definedName function="false" hidden="false" localSheetId="0" name="_xlnm.Print_Titles" vbProcedure="false">学习清单!$12:$12</definedName>
    <definedName function="false" hidden="true" localSheetId="0" name="_xlnm._FilterDatabase" vbProcedure="false">学习清单!$A$12:$M$34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<sst xmlns="http://schemas.openxmlformats.org/spreadsheetml/2006/main" count="565" uniqueCount="430">
  <si>
    <r>
      <rPr>
        <b val="true"/>
        <sz val="14"/>
        <color rgb="FF000000"/>
        <rFont val="Microsoft YaHei"/>
        <family val="0"/>
        <charset val="1"/>
      </rPr>
      <t xml:space="preserve">Top-down Discovery 1 </t>
    </r>
    <r>
      <rPr>
        <b val="true"/>
        <sz val="14"/>
        <color rgb="FF000000"/>
        <rFont val="Noto Sans CJK SC"/>
        <family val="2"/>
      </rPr>
      <t xml:space="preserve">天学习清单（目标：能自己写出并检查功能测试用例）</t>
    </r>
  </si>
  <si>
    <r>
      <rPr>
        <sz val="9"/>
        <color rgb="FF404040"/>
        <rFont val="Noto Sans CJK SC"/>
        <family val="2"/>
      </rPr>
      <t xml:space="preserve">基线为 </t>
    </r>
    <r>
      <rPr>
        <sz val="9"/>
        <color rgb="FF404040"/>
        <rFont val="Microsoft YaHei"/>
        <family val="0"/>
        <charset val="1"/>
      </rPr>
      <t xml:space="preserve">Australia </t>
    </r>
    <r>
      <rPr>
        <sz val="9"/>
        <color rgb="FF404040"/>
        <rFont val="Noto Sans CJK SC"/>
        <family val="2"/>
      </rPr>
      <t xml:space="preserve">版官方文档；练习用单位 </t>
    </r>
    <r>
      <rPr>
        <sz val="9"/>
        <color rgb="FF404040"/>
        <rFont val="Microsoft YaHei"/>
        <family val="0"/>
        <charset val="1"/>
      </rPr>
      <t xml:space="preserve">Azure </t>
    </r>
    <r>
      <rPr>
        <sz val="9"/>
        <color rgb="FF404040"/>
        <rFont val="Noto Sans CJK SC"/>
        <family val="2"/>
      </rPr>
      <t xml:space="preserve">上已装空 </t>
    </r>
    <r>
      <rPr>
        <sz val="9"/>
        <color rgb="FF404040"/>
        <rFont val="Microsoft YaHei"/>
        <family val="0"/>
        <charset val="1"/>
      </rPr>
      <t xml:space="preserve">Tomcat </t>
    </r>
    <r>
      <rPr>
        <sz val="9"/>
        <color rgb="FF404040"/>
        <rFont val="Noto Sans CJK SC"/>
        <family val="2"/>
      </rPr>
      <t xml:space="preserve">的 </t>
    </r>
    <r>
      <rPr>
        <sz val="9"/>
        <color rgb="FF404040"/>
        <rFont val="Microsoft YaHei"/>
        <family val="0"/>
        <charset val="1"/>
      </rPr>
      <t xml:space="preserve">VM</t>
    </r>
    <r>
      <rPr>
        <sz val="9"/>
        <color rgb="FF404040"/>
        <rFont val="Noto Sans CJK SC"/>
        <family val="2"/>
      </rPr>
      <t xml:space="preserve">。上午理解机制 → 下午用 </t>
    </r>
    <r>
      <rPr>
        <sz val="9"/>
        <color rgb="FF404040"/>
        <rFont val="Microsoft YaHei"/>
        <family val="0"/>
        <charset val="1"/>
      </rPr>
      <t xml:space="preserve">Tomcat </t>
    </r>
    <r>
      <rPr>
        <sz val="9"/>
        <color rgb="FF404040"/>
        <rFont val="Noto Sans CJK SC"/>
        <family val="2"/>
      </rPr>
      <t xml:space="preserve">实操 → 傍晚整理并对照用例自查。实操只在测试 </t>
    </r>
    <r>
      <rPr>
        <sz val="9"/>
        <color rgb="FF404040"/>
        <rFont val="Microsoft YaHei"/>
        <family val="0"/>
        <charset val="1"/>
      </rPr>
      <t xml:space="preserve">VM </t>
    </r>
    <r>
      <rPr>
        <sz val="9"/>
        <color rgb="FF404040"/>
        <rFont val="Noto Sans CJK SC"/>
        <family val="2"/>
      </rPr>
      <t xml:space="preserve">和测试服务上进行，不修改标准 </t>
    </r>
    <r>
      <rPr>
        <sz val="9"/>
        <color rgb="FF404040"/>
        <rFont val="Microsoft YaHei"/>
        <family val="0"/>
        <charset val="1"/>
      </rPr>
      <t xml:space="preserve">Pattern </t>
    </r>
    <r>
      <rPr>
        <sz val="9"/>
        <color rgb="FF404040"/>
        <rFont val="Noto Sans CJK SC"/>
        <family val="2"/>
      </rPr>
      <t xml:space="preserve">和全局属性。</t>
    </r>
  </si>
  <si>
    <t xml:space="preserve">进度汇总</t>
  </si>
  <si>
    <t xml:space="preserve">填写说明</t>
  </si>
  <si>
    <r>
      <rPr>
        <sz val="9"/>
        <color rgb="FF000000"/>
        <rFont val="Microsoft YaHei"/>
        <family val="0"/>
        <charset val="1"/>
      </rPr>
      <t xml:space="preserve">1 </t>
    </r>
    <r>
      <rPr>
        <sz val="9"/>
        <color rgb="FF000000"/>
        <rFont val="Noto Sans CJK SC"/>
        <family val="2"/>
      </rPr>
      <t xml:space="preserve">天计划项数</t>
    </r>
  </si>
  <si>
    <r>
      <rPr>
        <sz val="9"/>
        <color rgb="FF404040"/>
        <rFont val="Noto Sans CJK SC"/>
        <family val="2"/>
      </rPr>
      <t xml:space="preserve">只填黄色的三列：「状态」从下拉选择（未开始／进行中／完成）；「实际</t>
    </r>
    <r>
      <rPr>
        <sz val="9"/>
        <color rgb="FF404040"/>
        <rFont val="Microsoft YaHei"/>
        <family val="0"/>
        <charset val="1"/>
      </rPr>
      <t xml:space="preserve">(</t>
    </r>
    <r>
      <rPr>
        <sz val="9"/>
        <color rgb="FF404040"/>
        <rFont val="Noto Sans CJK SC"/>
        <family val="2"/>
      </rPr>
      <t xml:space="preserve">分钟</t>
    </r>
    <r>
      <rPr>
        <sz val="9"/>
        <color rgb="FF404040"/>
        <rFont val="Microsoft YaHei"/>
        <family val="0"/>
        <charset val="1"/>
      </rPr>
      <t xml:space="preserve">)</t>
    </r>
    <r>
      <rPr>
        <sz val="9"/>
        <color rgb="FF404040"/>
        <rFont val="Noto Sans CJK SC"/>
        <family val="2"/>
      </rPr>
      <t xml:space="preserve">」填数字；「笔记」写学到的要点、实际看到的消息原文或疑问。</t>
    </r>
  </si>
  <si>
    <t xml:space="preserve">已完成项数</t>
  </si>
  <si>
    <r>
      <rPr>
        <sz val="9"/>
        <color rgb="FF404040"/>
        <rFont val="Noto Sans CJK SC"/>
        <family val="2"/>
      </rPr>
      <t xml:space="preserve">优先级：必做＝时间再紧也要做（合计约 </t>
    </r>
    <r>
      <rPr>
        <sz val="9"/>
        <color rgb="FF404040"/>
        <rFont val="Microsoft YaHei"/>
        <family val="0"/>
        <charset val="1"/>
      </rPr>
      <t xml:space="preserve">5 </t>
    </r>
    <r>
      <rPr>
        <sz val="9"/>
        <color rgb="FF404040"/>
        <rFont val="Noto Sans CJK SC"/>
        <family val="2"/>
      </rPr>
      <t xml:space="preserve">小时）；建议＝有时间就做（合计约 </t>
    </r>
    <r>
      <rPr>
        <sz val="9"/>
        <color rgb="FF404040"/>
        <rFont val="Microsoft YaHei"/>
        <family val="0"/>
        <charset val="1"/>
      </rPr>
      <t xml:space="preserve">1 </t>
    </r>
    <r>
      <rPr>
        <sz val="9"/>
        <color rgb="FF404040"/>
        <rFont val="Noto Sans CJK SC"/>
        <family val="2"/>
      </rPr>
      <t xml:space="preserve">小时）；后续＝</t>
    </r>
    <r>
      <rPr>
        <sz val="9"/>
        <color rgb="FF404040"/>
        <rFont val="Microsoft YaHei"/>
        <family val="0"/>
        <charset val="1"/>
      </rPr>
      <t xml:space="preserve">1 </t>
    </r>
    <r>
      <rPr>
        <sz val="9"/>
        <color rgb="FF404040"/>
        <rFont val="Noto Sans CJK SC"/>
        <family val="2"/>
      </rPr>
      <t xml:space="preserve">天之后再学，不计入 </t>
    </r>
    <r>
      <rPr>
        <sz val="9"/>
        <color rgb="FF404040"/>
        <rFont val="Microsoft YaHei"/>
        <family val="0"/>
        <charset val="1"/>
      </rPr>
      <t xml:space="preserve">1 </t>
    </r>
    <r>
      <rPr>
        <sz val="9"/>
        <color rgb="FF404040"/>
        <rFont val="Noto Sans CJK SC"/>
        <family val="2"/>
      </rPr>
      <t xml:space="preserve">天的计划。剩余时间留给环境问题（凭据、端口等）的处理。</t>
    </r>
  </si>
  <si>
    <t xml:space="preserve">完成率</t>
  </si>
  <si>
    <r>
      <rPr>
        <i val="true"/>
        <sz val="9"/>
        <color rgb="FF7F7F7F"/>
        <rFont val="Noto Sans CJK SC"/>
        <family val="2"/>
      </rPr>
      <t xml:space="preserve">填写示例：状态＝完成｜实际＝</t>
    </r>
    <r>
      <rPr>
        <i val="true"/>
        <sz val="9"/>
        <color rgb="FF7F7F7F"/>
        <rFont val="Microsoft YaHei"/>
        <family val="0"/>
        <charset val="1"/>
      </rPr>
      <t xml:space="preserve">35</t>
    </r>
    <r>
      <rPr>
        <i val="true"/>
        <sz val="9"/>
        <color rgb="FF7F7F7F"/>
        <rFont val="Noto Sans CJK SC"/>
        <family val="2"/>
      </rPr>
      <t xml:space="preserve">｜笔记＝入口用 </t>
    </r>
    <r>
      <rPr>
        <i val="true"/>
        <sz val="9"/>
        <color rgb="FF7F7F7F"/>
        <rFont val="Microsoft YaHei"/>
        <family val="0"/>
        <charset val="1"/>
      </rPr>
      <t xml:space="preserve">http://10.x.x.x:8080</t>
    </r>
    <r>
      <rPr>
        <i val="true"/>
        <sz val="9"/>
        <color rgb="FF7F7F7F"/>
        <rFont val="Noto Sans CJK SC"/>
        <family val="2"/>
      </rPr>
      <t xml:space="preserve">，匹配到名称含 </t>
    </r>
    <r>
      <rPr>
        <i val="true"/>
        <sz val="9"/>
        <color rgb="FF7F7F7F"/>
        <rFont val="Microsoft YaHei"/>
        <family val="0"/>
        <charset val="1"/>
      </rPr>
      <t xml:space="preserve">Tomcat </t>
    </r>
    <r>
      <rPr>
        <i val="true"/>
        <sz val="9"/>
        <color rgb="FF7F7F7F"/>
        <rFont val="Noto Sans CJK SC"/>
        <family val="2"/>
      </rPr>
      <t xml:space="preserve">的 </t>
    </r>
    <r>
      <rPr>
        <i val="true"/>
        <sz val="9"/>
        <color rgb="FF7F7F7F"/>
        <rFont val="Microsoft YaHei"/>
        <family val="0"/>
        <charset val="1"/>
      </rPr>
      <t xml:space="preserve">Pattern</t>
    </r>
    <r>
      <rPr>
        <i val="true"/>
        <sz val="9"/>
        <color rgb="FF7F7F7F"/>
        <rFont val="Noto Sans CJK SC"/>
        <family val="2"/>
      </rPr>
      <t xml:space="preserve">；主机 </t>
    </r>
    <r>
      <rPr>
        <i val="true"/>
        <sz val="9"/>
        <color rgb="FF7F7F7F"/>
        <rFont val="Microsoft YaHei"/>
        <family val="0"/>
        <charset val="1"/>
      </rPr>
      <t xml:space="preserve">sys_id </t>
    </r>
    <r>
      <rPr>
        <i val="true"/>
        <sz val="9"/>
        <color rgb="FF7F7F7F"/>
        <rFont val="Noto Sans CJK SC"/>
        <family val="2"/>
      </rPr>
      <t xml:space="preserve">与 </t>
    </r>
    <r>
      <rPr>
        <i val="true"/>
        <sz val="9"/>
        <color rgb="FF7F7F7F"/>
        <rFont val="Microsoft YaHei"/>
        <family val="0"/>
        <charset val="1"/>
      </rPr>
      <t xml:space="preserve">IP Range Discovery </t>
    </r>
    <r>
      <rPr>
        <i val="true"/>
        <sz val="9"/>
        <color rgb="FF7F7F7F"/>
        <rFont val="Noto Sans CJK SC"/>
        <family val="2"/>
      </rPr>
      <t xml:space="preserve">时相同。</t>
    </r>
  </si>
  <si>
    <r>
      <rPr>
        <sz val="9"/>
        <color rgb="FF000000"/>
        <rFont val="Microsoft YaHei"/>
        <family val="0"/>
        <charset val="1"/>
      </rPr>
      <t xml:space="preserve">1 </t>
    </r>
    <r>
      <rPr>
        <sz val="9"/>
        <color rgb="FF000000"/>
        <rFont val="Noto Sans CJK SC"/>
        <family val="2"/>
      </rPr>
      <t xml:space="preserve">天计划时间（分钟）</t>
    </r>
  </si>
  <si>
    <r>
      <rPr>
        <sz val="9"/>
        <color rgb="FF404040"/>
        <rFont val="Noto Sans CJK SC"/>
        <family val="2"/>
      </rPr>
      <t xml:space="preserve">「关联用例」：</t>
    </r>
    <r>
      <rPr>
        <sz val="9"/>
        <color rgb="FF404040"/>
        <rFont val="Microsoft YaHei"/>
        <family val="0"/>
        <charset val="1"/>
      </rPr>
      <t xml:space="preserve">F </t>
    </r>
    <r>
      <rPr>
        <sz val="9"/>
        <color rgb="FF404040"/>
        <rFont val="Noto Sans CJK SC"/>
        <family val="2"/>
      </rPr>
      <t xml:space="preserve">开头为功能测试编号，</t>
    </r>
    <r>
      <rPr>
        <sz val="9"/>
        <color rgb="FF404040"/>
        <rFont val="Microsoft YaHei"/>
        <family val="0"/>
        <charset val="1"/>
      </rPr>
      <t xml:space="preserve">NF </t>
    </r>
    <r>
      <rPr>
        <sz val="9"/>
        <color rgb="FF404040"/>
        <rFont val="Noto Sans CJK SC"/>
        <family val="2"/>
      </rPr>
      <t xml:space="preserve">开头为非功能测试编号（见 </t>
    </r>
    <r>
      <rPr>
        <sz val="9"/>
        <color rgb="FF404040"/>
        <rFont val="Microsoft YaHei"/>
        <family val="0"/>
        <charset val="1"/>
      </rPr>
      <t xml:space="preserve">20261026 </t>
    </r>
    <r>
      <rPr>
        <sz val="9"/>
        <color rgb="FF404040"/>
        <rFont val="Noto Sans CJK SC"/>
        <family val="2"/>
      </rPr>
      <t xml:space="preserve">版测试一览）。资料编号 </t>
    </r>
    <r>
      <rPr>
        <sz val="9"/>
        <color rgb="FF404040"/>
        <rFont val="Microsoft YaHei"/>
        <family val="0"/>
        <charset val="1"/>
      </rPr>
      <t xml:space="preserve">R-xx </t>
    </r>
    <r>
      <rPr>
        <sz val="9"/>
        <color rgb="FF404040"/>
        <rFont val="Noto Sans CJK SC"/>
        <family val="2"/>
      </rPr>
      <t xml:space="preserve">见「资料一览」页。</t>
    </r>
  </si>
  <si>
    <t xml:space="preserve">其中必做（分钟）</t>
  </si>
  <si>
    <t xml:space="preserve">实际用时（分钟）</t>
  </si>
  <si>
    <t xml:space="preserve">No.</t>
  </si>
  <si>
    <t xml:space="preserve">时段</t>
  </si>
  <si>
    <t xml:space="preserve">优先级</t>
  </si>
  <si>
    <t xml:space="preserve">学习项目</t>
  </si>
  <si>
    <t xml:space="preserve">学完要能回答的问题</t>
  </si>
  <si>
    <t xml:space="preserve">怎么学（步骤）</t>
  </si>
  <si>
    <t xml:space="preserve">资料</t>
  </si>
  <si>
    <r>
      <rPr>
        <b val="true"/>
        <sz val="10"/>
        <color rgb="FF000000"/>
        <rFont val="Noto Sans CJK SC"/>
        <family val="2"/>
      </rPr>
      <t xml:space="preserve">预计</t>
    </r>
    <r>
      <rPr>
        <b val="true"/>
        <sz val="10"/>
        <color rgb="FF000000"/>
        <rFont val="Microsoft Ya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分钟</t>
    </r>
    <r>
      <rPr>
        <b val="true"/>
        <sz val="10"/>
        <color rgb="FF000000"/>
        <rFont val="Microsoft YaHei"/>
        <family val="0"/>
        <charset val="1"/>
      </rPr>
      <t xml:space="preserve">)</t>
    </r>
  </si>
  <si>
    <t xml:space="preserve">完成标准／产出物</t>
  </si>
  <si>
    <t xml:space="preserve">关联用例</t>
  </si>
  <si>
    <t xml:space="preserve">状态</t>
  </si>
  <si>
    <r>
      <rPr>
        <b val="true"/>
        <sz val="10"/>
        <color rgb="FF000000"/>
        <rFont val="Noto Sans CJK SC"/>
        <family val="2"/>
      </rPr>
      <t xml:space="preserve">实际</t>
    </r>
    <r>
      <rPr>
        <b val="true"/>
        <sz val="10"/>
        <color rgb="FF000000"/>
        <rFont val="Microsoft Ya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分钟</t>
    </r>
    <r>
      <rPr>
        <b val="true"/>
        <sz val="10"/>
        <color rgb="FF000000"/>
        <rFont val="Microsoft YaHei"/>
        <family val="0"/>
        <charset val="1"/>
      </rPr>
      <t xml:space="preserve">)</t>
    </r>
  </si>
  <si>
    <t xml:space="preserve">笔记</t>
  </si>
  <si>
    <t xml:space="preserve">L-01</t>
  </si>
  <si>
    <t xml:space="preserve">上午｜理解机制</t>
  </si>
  <si>
    <t xml:space="preserve">必做</t>
  </si>
  <si>
    <t xml:space="preserve">确认学习环境</t>
  </si>
  <si>
    <r>
      <rPr>
        <sz val="10"/>
        <color rgb="FF000000"/>
        <rFont val="Noto Sans CJK SC"/>
        <family val="2"/>
      </rPr>
      <t xml:space="preserve">我有没有 </t>
    </r>
    <r>
      <rPr>
        <sz val="10"/>
        <color rgb="FF000000"/>
        <rFont val="Microsoft YaHei"/>
        <family val="0"/>
        <charset val="1"/>
      </rPr>
      <t xml:space="preserve">service_mapping_admin </t>
    </r>
    <r>
      <rPr>
        <sz val="10"/>
        <color rgb="FF000000"/>
        <rFont val="Noto Sans CJK SC"/>
        <family val="2"/>
      </rPr>
      <t xml:space="preserve">角色？</t>
    </r>
    <r>
      <rPr>
        <sz val="10"/>
        <color rgb="FF000000"/>
        <rFont val="Microsoft YaHei"/>
        <family val="0"/>
        <charset val="1"/>
      </rPr>
      <t xml:space="preserve">Service Mapping </t>
    </r>
    <r>
      <rPr>
        <sz val="10"/>
        <color rgb="FF000000"/>
        <rFont val="Noto Sans CJK SC"/>
        <family val="2"/>
      </rPr>
      <t xml:space="preserve">是否已安装？</t>
    </r>
    <r>
      <rPr>
        <sz val="10"/>
        <color rgb="FF000000"/>
        <rFont val="Microsoft YaHei"/>
        <family val="0"/>
        <charset val="1"/>
      </rPr>
      <t xml:space="preserve">MID Server </t>
    </r>
    <r>
      <rPr>
        <sz val="10"/>
        <color rgb="FF000000"/>
        <rFont val="Noto Sans CJK SC"/>
        <family val="2"/>
      </rPr>
      <t xml:space="preserve">是否 </t>
    </r>
    <r>
      <rPr>
        <sz val="10"/>
        <color rgb="FF000000"/>
        <rFont val="Microsoft YaHei"/>
        <family val="0"/>
        <charset val="1"/>
      </rPr>
      <t xml:space="preserve">Up</t>
    </r>
    <r>
      <rPr>
        <sz val="10"/>
        <color rgb="FF000000"/>
        <rFont val="Noto Sans CJK SC"/>
        <family val="2"/>
      </rPr>
      <t xml:space="preserve">？装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VM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OS </t>
    </r>
    <r>
      <rPr>
        <sz val="10"/>
        <color rgb="FF000000"/>
        <rFont val="Noto Sans CJK SC"/>
        <family val="2"/>
      </rPr>
      <t xml:space="preserve">和凭据是否就绪？</t>
    </r>
  </si>
  <si>
    <r>
      <rPr>
        <sz val="10"/>
        <color rgb="FF000000"/>
        <rFont val="Noto Sans CJK SC"/>
        <family val="2"/>
      </rPr>
      <t xml:space="preserve">① 查看自己的角色；② 确认菜单 </t>
    </r>
    <r>
      <rPr>
        <sz val="10"/>
        <color rgb="FF000000"/>
        <rFont val="Microsoft YaHei"/>
        <family val="0"/>
        <charset val="1"/>
      </rPr>
      <t xml:space="preserve">All &gt; Service Mapping </t>
    </r>
    <r>
      <rPr>
        <sz val="10"/>
        <color rgb="FF000000"/>
        <rFont val="Noto Sans CJK SC"/>
        <family val="2"/>
      </rPr>
      <t xml:space="preserve">存在；③ </t>
    </r>
    <r>
      <rPr>
        <sz val="10"/>
        <color rgb="FF000000"/>
        <rFont val="Microsoft YaHei"/>
        <family val="0"/>
        <charset val="1"/>
      </rPr>
      <t xml:space="preserve">MID Server </t>
    </r>
    <r>
      <rPr>
        <sz val="10"/>
        <color rgb="FF000000"/>
        <rFont val="Noto Sans CJK SC"/>
        <family val="2"/>
      </rPr>
      <t xml:space="preserve">列表中 </t>
    </r>
    <r>
      <rPr>
        <sz val="10"/>
        <color rgb="FF000000"/>
        <rFont val="Microsoft YaHei"/>
        <family val="0"/>
        <charset val="1"/>
      </rPr>
      <t xml:space="preserve">Status </t>
    </r>
    <r>
      <rPr>
        <sz val="10"/>
        <color rgb="FF000000"/>
        <rFont val="Noto Sans CJK SC"/>
        <family val="2"/>
      </rPr>
      <t xml:space="preserve">为 </t>
    </r>
    <r>
      <rPr>
        <sz val="10"/>
        <color rgb="FF000000"/>
        <rFont val="Microsoft YaHei"/>
        <family val="0"/>
        <charset val="1"/>
      </rPr>
      <t xml:space="preserve">Up</t>
    </r>
    <r>
      <rPr>
        <sz val="10"/>
        <color rgb="FF000000"/>
        <rFont val="Noto Sans CJK SC"/>
        <family val="2"/>
      </rPr>
      <t xml:space="preserve">；④ 在 </t>
    </r>
    <r>
      <rPr>
        <sz val="10"/>
        <color rgb="FF000000"/>
        <rFont val="Microsoft YaHei"/>
        <family val="0"/>
        <charset val="1"/>
      </rPr>
      <t xml:space="preserve">CMDB </t>
    </r>
    <r>
      <rPr>
        <sz val="10"/>
        <color rgb="FF000000"/>
        <rFont val="Noto Sans CJK SC"/>
        <family val="2"/>
      </rPr>
      <t xml:space="preserve">中能查到 </t>
    </r>
    <r>
      <rPr>
        <sz val="10"/>
        <color rgb="FF000000"/>
        <rFont val="Microsoft YaHei"/>
        <family val="0"/>
        <charset val="1"/>
      </rPr>
      <t xml:space="preserve">Tomcat VM </t>
    </r>
    <r>
      <rPr>
        <sz val="10"/>
        <color rgb="FF000000"/>
        <rFont val="Noto Sans CJK SC"/>
        <family val="2"/>
      </rPr>
      <t xml:space="preserve">的主机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cmdb_ci_linux_server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Microsoft YaHei"/>
        <family val="0"/>
        <charset val="1"/>
      </rPr>
      <t xml:space="preserve">cmdb_ci_win_server</t>
    </r>
    <r>
      <rPr>
        <sz val="10"/>
        <color rgb="FF000000"/>
        <rFont val="Noto Sans CJK SC"/>
        <family val="2"/>
      </rPr>
      <t xml:space="preserve">），即已被 </t>
    </r>
    <r>
      <rPr>
        <sz val="10"/>
        <color rgb="FF000000"/>
        <rFont val="Microsoft YaHei"/>
        <family val="0"/>
        <charset val="1"/>
      </rPr>
      <t xml:space="preserve">IP Range Discovery </t>
    </r>
    <r>
      <rPr>
        <sz val="10"/>
        <color rgb="FF000000"/>
        <rFont val="Noto Sans CJK SC"/>
        <family val="2"/>
      </rPr>
      <t xml:space="preserve">发现。</t>
    </r>
  </si>
  <si>
    <r>
      <rPr>
        <sz val="10"/>
        <color rgb="FF000000"/>
        <rFont val="Microsoft YaHei"/>
        <family val="0"/>
        <charset val="1"/>
      </rPr>
      <t xml:space="preserve">R-07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R-14</t>
    </r>
  </si>
  <si>
    <r>
      <rPr>
        <sz val="10"/>
        <color rgb="FF000000"/>
        <rFont val="Microsoft YaHei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项都确认完；缺的写进笔记，下午实操前解决</t>
    </r>
  </si>
  <si>
    <t xml:space="preserve">F30-1</t>
  </si>
  <si>
    <t xml:space="preserve">未开始</t>
  </si>
  <si>
    <t xml:space="preserve">L-02</t>
  </si>
  <si>
    <r>
      <rPr>
        <b val="true"/>
        <sz val="10"/>
        <color rgb="FF000000"/>
        <rFont val="Microsoft YaHei"/>
        <family val="0"/>
        <charset val="1"/>
      </rPr>
      <t xml:space="preserve">Top-down </t>
    </r>
    <r>
      <rPr>
        <b val="true"/>
        <sz val="10"/>
        <color rgb="FF000000"/>
        <rFont val="Noto Sans CJK SC"/>
        <family val="2"/>
      </rPr>
      <t xml:space="preserve">在 </t>
    </r>
    <r>
      <rPr>
        <b val="true"/>
        <sz val="10"/>
        <color rgb="FF000000"/>
        <rFont val="Microsoft YaHei"/>
        <family val="0"/>
        <charset val="1"/>
      </rPr>
      <t xml:space="preserve">Service Mapping </t>
    </r>
    <r>
      <rPr>
        <b val="true"/>
        <sz val="10"/>
        <color rgb="FF000000"/>
        <rFont val="Noto Sans CJK SC"/>
        <family val="2"/>
      </rPr>
      <t xml:space="preserve">中的位置</t>
    </r>
  </si>
  <si>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Microsoft YaHei"/>
        <family val="0"/>
        <charset val="1"/>
      </rPr>
      <t xml:space="preserve">Tag-based</t>
    </r>
    <r>
      <rPr>
        <sz val="10"/>
        <color rgb="FF000000"/>
        <rFont val="Noto Sans CJK SC"/>
        <family val="2"/>
      </rPr>
      <t xml:space="preserve">、基于 </t>
    </r>
    <r>
      <rPr>
        <sz val="10"/>
        <color rgb="FF000000"/>
        <rFont val="Microsoft YaHei"/>
        <family val="0"/>
        <charset val="1"/>
      </rPr>
      <t xml:space="preserve">ML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Automated Service Suggestions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Traffic-based </t>
    </r>
    <r>
      <rPr>
        <sz val="10"/>
        <color rgb="FF000000"/>
        <rFont val="Noto Sans CJK SC"/>
        <family val="2"/>
      </rPr>
      <t xml:space="preserve">有什么不同？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适合什么应用？哪些方式可以叠加使用？</t>
    </r>
  </si>
  <si>
    <r>
      <rPr>
        <sz val="10"/>
        <color rgb="FF000000"/>
        <rFont val="Noto Sans CJK SC"/>
        <family val="2"/>
      </rPr>
      <t xml:space="preserve">读 </t>
    </r>
    <r>
      <rPr>
        <sz val="10"/>
        <color rgb="FF000000"/>
        <rFont val="Microsoft YaHei"/>
        <family val="0"/>
        <charset val="1"/>
      </rPr>
      <t xml:space="preserve">R-01 </t>
    </r>
    <r>
      <rPr>
        <sz val="10"/>
        <color rgb="FF000000"/>
        <rFont val="Noto Sans CJK SC"/>
        <family val="2"/>
      </rPr>
      <t xml:space="preserve">的方法比较；再读 </t>
    </r>
    <r>
      <rPr>
        <sz val="10"/>
        <color rgb="FF000000"/>
        <rFont val="Microsoft YaHei"/>
        <family val="0"/>
        <charset val="1"/>
      </rPr>
      <t xml:space="preserve">R-02 </t>
    </r>
    <r>
      <rPr>
        <sz val="10"/>
        <color rgb="FF000000"/>
        <rFont val="Noto Sans CJK SC"/>
        <family val="2"/>
      </rPr>
      <t xml:space="preserve">中 “</t>
    </r>
    <r>
      <rPr>
        <sz val="10"/>
        <color rgb="FF000000"/>
        <rFont val="Microsoft YaHei"/>
        <family val="0"/>
        <charset val="1"/>
      </rPr>
      <t xml:space="preserve">Choosing the right method” </t>
    </r>
    <r>
      <rPr>
        <sz val="10"/>
        <color rgb="FF000000"/>
        <rFont val="Noto Sans CJK SC"/>
        <family val="2"/>
      </rPr>
      <t xml:space="preserve">表的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与 </t>
    </r>
    <r>
      <rPr>
        <sz val="10"/>
        <color rgb="FF000000"/>
        <rFont val="Microsoft YaHei"/>
        <family val="0"/>
        <charset val="1"/>
      </rPr>
      <t xml:space="preserve">Tag-based </t>
    </r>
    <r>
      <rPr>
        <sz val="10"/>
        <color rgb="FF000000"/>
        <rFont val="Noto Sans CJK SC"/>
        <family val="2"/>
      </rPr>
      <t xml:space="preserve">两行。重点记三件事：要不要凭据、有没有组件间的连接、结果存在哪张表。</t>
    </r>
  </si>
  <si>
    <r>
      <rPr>
        <sz val="10"/>
        <color rgb="FF000000"/>
        <rFont val="Microsoft YaHei"/>
        <family val="0"/>
        <charset val="1"/>
      </rPr>
      <t xml:space="preserve">R-01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R-02</t>
    </r>
  </si>
  <si>
    <r>
      <rPr>
        <sz val="10"/>
        <color rgb="FF000000"/>
        <rFont val="Noto Sans CJK SC"/>
        <family val="2"/>
      </rPr>
      <t xml:space="preserve">能用 </t>
    </r>
    <r>
      <rPr>
        <sz val="10"/>
        <color rgb="FF000000"/>
        <rFont val="Microsoft YaHei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句话说出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与 </t>
    </r>
    <r>
      <rPr>
        <sz val="10"/>
        <color rgb="FF000000"/>
        <rFont val="Microsoft YaHei"/>
        <family val="0"/>
        <charset val="1"/>
      </rPr>
      <t xml:space="preserve">Tag-based </t>
    </r>
    <r>
      <rPr>
        <sz val="10"/>
        <color rgb="FF000000"/>
        <rFont val="Noto Sans CJK SC"/>
        <family val="2"/>
      </rPr>
      <t xml:space="preserve">的区别</t>
    </r>
  </si>
  <si>
    <r>
      <rPr>
        <sz val="10"/>
        <color rgb="FF000000"/>
        <rFont val="Microsoft YaHei"/>
        <family val="0"/>
        <charset val="1"/>
      </rPr>
      <t xml:space="preserve">F27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F31-2</t>
    </r>
  </si>
  <si>
    <t xml:space="preserve">L-03</t>
  </si>
  <si>
    <r>
      <rPr>
        <b val="true"/>
        <sz val="10"/>
        <color rgb="FF000000"/>
        <rFont val="Noto Sans CJK SC"/>
        <family val="2"/>
      </rPr>
      <t xml:space="preserve">【核心】</t>
    </r>
    <r>
      <rPr>
        <b val="true"/>
        <sz val="10"/>
        <color rgb="FF000000"/>
        <rFont val="Microsoft YaHei"/>
        <family val="0"/>
        <charset val="1"/>
      </rPr>
      <t xml:space="preserve">Top-down </t>
    </r>
    <r>
      <rPr>
        <b val="true"/>
        <sz val="10"/>
        <color rgb="FF000000"/>
        <rFont val="Noto Sans CJK SC"/>
        <family val="2"/>
      </rPr>
      <t xml:space="preserve">的发现流程</t>
    </r>
  </si>
  <si>
    <r>
      <rPr>
        <sz val="10"/>
        <color rgb="FF000000"/>
        <rFont val="Noto Sans CJK SC"/>
        <family val="2"/>
      </rPr>
      <t xml:space="preserve">从定义入口到地图完成，系统按什么顺序做什么？入口所在主机不在 </t>
    </r>
    <r>
      <rPr>
        <sz val="10"/>
        <color rgb="FF000000"/>
        <rFont val="Microsoft YaHei"/>
        <family val="0"/>
        <charset val="1"/>
      </rPr>
      <t xml:space="preserve">CMDB </t>
    </r>
    <r>
      <rPr>
        <sz val="10"/>
        <color rgb="FF000000"/>
        <rFont val="Noto Sans CJK SC"/>
        <family val="2"/>
      </rPr>
      <t xml:space="preserve">时怎么办？什么时候停止往下发现？发现完以后服务怎么保持最新？</t>
    </r>
  </si>
  <si>
    <r>
      <rPr>
        <sz val="10"/>
        <color rgb="FF000000"/>
        <rFont val="Noto Sans CJK SC"/>
        <family val="2"/>
      </rPr>
      <t xml:space="preserve">精读 </t>
    </r>
    <r>
      <rPr>
        <sz val="10"/>
        <color rgb="FF000000"/>
        <rFont val="Microsoft YaHei"/>
        <family val="0"/>
        <charset val="1"/>
      </rPr>
      <t xml:space="preserve">R-03 </t>
    </r>
    <r>
      <rPr>
        <sz val="10"/>
        <color rgb="FF000000"/>
        <rFont val="Noto Sans CJK SC"/>
        <family val="2"/>
      </rPr>
      <t xml:space="preserve">的 “</t>
    </r>
    <r>
      <rPr>
        <sz val="10"/>
        <color rgb="FF000000"/>
        <rFont val="Microsoft YaHei"/>
        <family val="0"/>
        <charset val="1"/>
      </rPr>
      <t xml:space="preserve">interactions” </t>
    </r>
    <r>
      <rPr>
        <sz val="10"/>
        <color rgb="FF000000"/>
        <rFont val="Noto Sans CJK SC"/>
        <family val="2"/>
      </rPr>
      <t xml:space="preserve">部分，在纸上画流程图：① 定义服务和入口 → ② 确认主机是否在 </t>
    </r>
    <r>
      <rPr>
        <sz val="10"/>
        <color rgb="FF000000"/>
        <rFont val="Microsoft YaHei"/>
        <family val="0"/>
        <charset val="1"/>
      </rPr>
      <t xml:space="preserve">CMDB → ③ </t>
    </r>
    <r>
      <rPr>
        <sz val="10"/>
        <color rgb="FF000000"/>
        <rFont val="Noto Sans CJK SC"/>
        <family val="2"/>
      </rPr>
      <t xml:space="preserve">不在则触发横向发现（</t>
    </r>
    <r>
      <rPr>
        <sz val="10"/>
        <color rgb="FF000000"/>
        <rFont val="Microsoft YaHei"/>
        <family val="0"/>
        <charset val="1"/>
      </rPr>
      <t xml:space="preserve">R-04</t>
    </r>
    <r>
      <rPr>
        <sz val="10"/>
        <color rgb="FF000000"/>
        <rFont val="Noto Sans CJK SC"/>
        <family val="2"/>
      </rPr>
      <t xml:space="preserve">：端口扫描→分类→识别→探索）→ ④ 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执行 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identification section </t>
    </r>
    <r>
      <rPr>
        <sz val="10"/>
        <color rgb="FF000000"/>
        <rFont val="Noto Sans CJK SC"/>
        <family val="2"/>
      </rPr>
      <t xml:space="preserve">匹配入口 → ⑤ 执行 </t>
    </r>
    <r>
      <rPr>
        <sz val="10"/>
        <color rgb="FF000000"/>
        <rFont val="Microsoft YaHei"/>
        <family val="0"/>
        <charset val="1"/>
      </rPr>
      <t xml:space="preserve">connection section </t>
    </r>
    <r>
      <rPr>
        <sz val="10"/>
        <color rgb="FF000000"/>
        <rFont val="Noto Sans CJK SC"/>
        <family val="2"/>
      </rPr>
      <t xml:space="preserve">找出站连接（并用 </t>
    </r>
    <r>
      <rPr>
        <sz val="10"/>
        <color rgb="FF000000"/>
        <rFont val="Microsoft YaHei"/>
        <family val="0"/>
        <charset val="1"/>
      </rPr>
      <t xml:space="preserve">cmdb_tcp </t>
    </r>
    <r>
      <rPr>
        <sz val="10"/>
        <color rgb="FF000000"/>
        <rFont val="Noto Sans CJK SC"/>
        <family val="2"/>
      </rPr>
      <t xml:space="preserve">等补充）→ ⑥ 对每个连接目标重复 ②～⑤，直到没有出站连接或遇到 </t>
    </r>
    <r>
      <rPr>
        <sz val="10"/>
        <color rgb="FF000000"/>
        <rFont val="Microsoft YaHei"/>
        <family val="0"/>
        <charset val="1"/>
      </rPr>
      <t xml:space="preserve">Boundary → ⑦ </t>
    </r>
    <r>
      <rPr>
        <sz val="10"/>
        <color rgb="FF000000"/>
        <rFont val="Noto Sans CJK SC"/>
        <family val="2"/>
      </rPr>
      <t xml:space="preserve">定期重算（</t>
    </r>
    <r>
      <rPr>
        <sz val="10"/>
        <color rgb="FF000000"/>
        <rFont val="Microsoft YaHei"/>
        <family val="0"/>
        <charset val="1"/>
      </rPr>
      <t xml:space="preserve">R-17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</si>
  <si>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Microsoft YaHei"/>
        <family val="0"/>
        <charset val="1"/>
      </rPr>
      <t xml:space="preserve">R-03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R-17</t>
    </r>
  </si>
  <si>
    <t xml:space="preserve">不看资料能画出流程图，并在每一步旁写一个“这里可能失败的原因”</t>
  </si>
  <si>
    <r>
      <rPr>
        <sz val="10"/>
        <color rgb="FF000000"/>
        <rFont val="Microsoft YaHei"/>
        <family val="0"/>
        <charset val="1"/>
      </rPr>
      <t xml:space="preserve">F30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F33</t>
    </r>
  </si>
  <si>
    <t xml:space="preserve">L-04</t>
  </si>
  <si>
    <r>
      <rPr>
        <b val="true"/>
        <sz val="10"/>
        <color rgb="FF000000"/>
        <rFont val="Microsoft YaHei"/>
        <family val="0"/>
        <charset val="1"/>
      </rPr>
      <t xml:space="preserve">Entry Point</t>
    </r>
    <r>
      <rPr>
        <b val="true"/>
        <sz val="10"/>
        <color rgb="FF000000"/>
        <rFont val="Noto Sans CJK SC"/>
        <family val="2"/>
      </rPr>
      <t xml:space="preserve">（入口点）</t>
    </r>
  </si>
  <si>
    <r>
      <rPr>
        <sz val="10"/>
        <color rgb="FF000000"/>
        <rFont val="Noto Sans CJK SC"/>
        <family val="2"/>
      </rPr>
      <t xml:space="preserve">入口点是什么？</t>
    </r>
    <r>
      <rPr>
        <sz val="10"/>
        <color rgb="FF000000"/>
        <rFont val="Microsoft YaHei"/>
        <family val="0"/>
        <charset val="1"/>
      </rPr>
      <t xml:space="preserve">Web Application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URL</t>
    </r>
    <r>
      <rPr>
        <sz val="10"/>
        <color rgb="FF000000"/>
        <rFont val="Noto Sans CJK SC"/>
        <family val="2"/>
      </rPr>
      <t xml:space="preserve">）和主机</t>
    </r>
    <r>
      <rPr>
        <sz val="10"/>
        <color rgb="FF000000"/>
        <rFont val="Microsoft YaHei"/>
        <family val="0"/>
        <charset val="1"/>
      </rPr>
      <t xml:space="preserve">+</t>
    </r>
    <r>
      <rPr>
        <sz val="10"/>
        <color rgb="FF000000"/>
        <rFont val="Noto Sans CJK SC"/>
        <family val="2"/>
      </rPr>
      <t xml:space="preserve">端口两类入口各填什么？</t>
    </r>
    <r>
      <rPr>
        <sz val="10"/>
        <color rgb="FF000000"/>
        <rFont val="Microsoft YaHei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不写端口会怎样？为什么不能用 </t>
    </r>
    <r>
      <rPr>
        <sz val="10"/>
        <color rgb="FF000000"/>
        <rFont val="Microsoft YaHei"/>
        <family val="0"/>
        <charset val="1"/>
      </rPr>
      <t xml:space="preserve">localhost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Microsoft YaHei"/>
        <family val="0"/>
        <charset val="1"/>
      </rPr>
      <t xml:space="preserve">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MQ </t>
    </r>
    <r>
      <rPr>
        <sz val="10"/>
        <color rgb="FF000000"/>
        <rFont val="Noto Sans CJK SC"/>
        <family val="2"/>
      </rPr>
      <t xml:space="preserve">等中心组件做入口？</t>
    </r>
  </si>
  <si>
    <r>
      <rPr>
        <sz val="10"/>
        <color rgb="FF000000"/>
        <rFont val="Noto Sans CJK SC"/>
        <family val="2"/>
      </rPr>
      <t xml:space="preserve">读 </t>
    </r>
    <r>
      <rPr>
        <sz val="10"/>
        <color rgb="FF000000"/>
        <rFont val="Microsoft YaHei"/>
        <family val="0"/>
        <charset val="1"/>
      </rPr>
      <t xml:space="preserve">R-05 </t>
    </r>
    <r>
      <rPr>
        <sz val="10"/>
        <color rgb="FF000000"/>
        <rFont val="Noto Sans CJK SC"/>
        <family val="2"/>
      </rPr>
      <t xml:space="preserve">的通用属性表（</t>
    </r>
    <r>
      <rPr>
        <sz val="10"/>
        <color rgb="FF000000"/>
        <rFont val="Microsoft YaHei"/>
        <family val="0"/>
        <charset val="1"/>
      </rPr>
      <t xml:space="preserve">Host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Port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URL</t>
    </r>
    <r>
      <rPr>
        <sz val="10"/>
        <color rgb="FF000000"/>
        <rFont val="Noto Sans CJK SC"/>
        <family val="2"/>
      </rPr>
      <t xml:space="preserve">）；再读 </t>
    </r>
    <r>
      <rPr>
        <sz val="10"/>
        <color rgb="FF000000"/>
        <rFont val="Microsoft YaHei"/>
        <family val="0"/>
        <charset val="1"/>
      </rPr>
      <t xml:space="preserve">R-06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Procedure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Microsoft YaHei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步，了解 </t>
    </r>
    <r>
      <rPr>
        <sz val="10"/>
        <color rgb="FF000000"/>
        <rFont val="Microsoft YaHei"/>
        <family val="0"/>
        <charset val="1"/>
      </rPr>
      <t xml:space="preserve">Define A Single Service Map </t>
    </r>
    <r>
      <rPr>
        <sz val="10"/>
        <color rgb="FF000000"/>
        <rFont val="Noto Sans CJK SC"/>
        <family val="2"/>
      </rPr>
      <t xml:space="preserve">的画面流程。</t>
    </r>
  </si>
  <si>
    <r>
      <rPr>
        <sz val="10"/>
        <color rgb="FF000000"/>
        <rFont val="Microsoft YaHei"/>
        <family val="0"/>
        <charset val="1"/>
      </rPr>
      <t xml:space="preserve">R-05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R-06</t>
    </r>
  </si>
  <si>
    <r>
      <rPr>
        <sz val="10"/>
        <color rgb="FF000000"/>
        <rFont val="Noto Sans CJK SC"/>
        <family val="2"/>
      </rPr>
      <t xml:space="preserve">能说出：</t>
    </r>
    <r>
      <rPr>
        <sz val="10"/>
        <color rgb="FF000000"/>
        <rFont val="Microsoft YaHei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未写端口时默认按 </t>
    </r>
    <r>
      <rPr>
        <sz val="10"/>
        <color rgb="FF000000"/>
        <rFont val="Microsoft YaHei"/>
        <family val="0"/>
        <charset val="1"/>
      </rPr>
      <t xml:space="preserve">443</t>
    </r>
    <r>
      <rPr>
        <sz val="10"/>
        <color rgb="FF000000"/>
        <rFont val="Noto Sans CJK SC"/>
        <family val="2"/>
      </rPr>
      <t xml:space="preserve">；入口选错会导致服务过大或识别失败</t>
    </r>
  </si>
  <si>
    <r>
      <rPr>
        <sz val="10"/>
        <color rgb="FF000000"/>
        <rFont val="Microsoft YaHei"/>
        <family val="0"/>
        <charset val="1"/>
      </rPr>
      <t xml:space="preserve">F30-2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F32-1</t>
    </r>
  </si>
  <si>
    <t xml:space="preserve">L-05</t>
  </si>
  <si>
    <r>
      <rPr>
        <b val="true"/>
        <sz val="10"/>
        <color rgb="FF000000"/>
        <rFont val="Microsoft YaHei"/>
        <family val="0"/>
        <charset val="1"/>
      </rPr>
      <t xml:space="preserve">Pattern </t>
    </r>
    <r>
      <rPr>
        <b val="true"/>
        <sz val="10"/>
        <color rgb="FF000000"/>
        <rFont val="Noto Sans CJK SC"/>
        <family val="2"/>
      </rPr>
      <t xml:space="preserve">的结构（看 </t>
    </r>
    <r>
      <rPr>
        <b val="true"/>
        <sz val="10"/>
        <color rgb="FF000000"/>
        <rFont val="Microsoft YaHei"/>
        <family val="0"/>
        <charset val="1"/>
      </rPr>
      <t xml:space="preserve">Tomcat </t>
    </r>
    <r>
      <rPr>
        <b val="true"/>
        <sz val="10"/>
        <color rgb="FF000000"/>
        <rFont val="Noto Sans CJK SC"/>
        <family val="2"/>
      </rPr>
      <t xml:space="preserve">的 </t>
    </r>
    <r>
      <rPr>
        <b val="true"/>
        <sz val="10"/>
        <color rgb="FF000000"/>
        <rFont val="Microsoft YaHei"/>
        <family val="0"/>
        <charset val="1"/>
      </rPr>
      <t xml:space="preserve">Pattern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</si>
  <si>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由什么组成？</t>
    </r>
    <r>
      <rPr>
        <sz val="10"/>
        <color rgb="FF000000"/>
        <rFont val="Microsoft YaHei"/>
        <family val="0"/>
        <charset val="1"/>
      </rPr>
      <t xml:space="preserve">identification section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Microsoft YaHei"/>
        <family val="0"/>
        <charset val="1"/>
      </rPr>
      <t xml:space="preserve">connection section </t>
    </r>
    <r>
      <rPr>
        <sz val="10"/>
        <color rgb="FF000000"/>
        <rFont val="Noto Sans CJK SC"/>
        <family val="2"/>
      </rPr>
      <t xml:space="preserve">各负责什么？同一个 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在横向发现和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中用法有什么不同？</t>
    </r>
  </si>
  <si>
    <r>
      <rPr>
        <sz val="10"/>
        <color rgb="FF000000"/>
        <rFont val="Noto Sans CJK SC"/>
        <family val="2"/>
      </rPr>
      <t xml:space="preserve">读 </t>
    </r>
    <r>
      <rPr>
        <sz val="10"/>
        <color rgb="FF000000"/>
        <rFont val="Microsoft YaHei"/>
        <family val="0"/>
        <charset val="1"/>
      </rPr>
      <t xml:space="preserve">R-08 </t>
    </r>
    <r>
      <rPr>
        <sz val="10"/>
        <color rgb="FF000000"/>
        <rFont val="Noto Sans CJK SC"/>
        <family val="2"/>
      </rPr>
      <t xml:space="preserve">的 “</t>
    </r>
    <r>
      <rPr>
        <sz val="10"/>
        <color rgb="FF000000"/>
        <rFont val="Microsoft YaHei"/>
        <family val="0"/>
        <charset val="1"/>
      </rPr>
      <t xml:space="preserve">Correlation between pattern and CI type”</t>
    </r>
    <r>
      <rPr>
        <sz val="10"/>
        <color rgb="FF000000"/>
        <rFont val="Noto Sans CJK SC"/>
        <family val="2"/>
      </rPr>
      <t xml:space="preserve">。然后在实例 </t>
    </r>
    <r>
      <rPr>
        <sz val="10"/>
        <color rgb="FF000000"/>
        <rFont val="Microsoft YaHei"/>
        <family val="0"/>
        <charset val="1"/>
      </rPr>
      <t xml:space="preserve">All &gt; Pattern Designer &gt; Discovery Patterns </t>
    </r>
    <r>
      <rPr>
        <sz val="10"/>
        <color rgb="FF000000"/>
        <rFont val="Noto Sans CJK SC"/>
        <family val="2"/>
      </rPr>
      <t xml:space="preserve">搜索名称含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Pattern</t>
    </r>
    <r>
      <rPr>
        <sz val="10"/>
        <color rgb="FF000000"/>
        <rFont val="Noto Sans CJK SC"/>
        <family val="2"/>
      </rPr>
      <t xml:space="preserve">（以实例为准），只看不改：</t>
    </r>
    <r>
      <rPr>
        <sz val="10"/>
        <color rgb="FF000000"/>
        <rFont val="Microsoft YaHei"/>
        <family val="0"/>
        <charset val="1"/>
      </rPr>
      <t xml:space="preserve">identification section </t>
    </r>
    <r>
      <rPr>
        <sz val="10"/>
        <color rgb="FF000000"/>
        <rFont val="Noto Sans CJK SC"/>
        <family val="2"/>
      </rPr>
      <t xml:space="preserve">用了哪些命令来确认是 </t>
    </r>
    <r>
      <rPr>
        <sz val="10"/>
        <color rgb="FF000000"/>
        <rFont val="Microsoft YaHei"/>
        <family val="0"/>
        <charset val="1"/>
      </rPr>
      <t xml:space="preserve">Tomcat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Microsoft YaHei"/>
        <family val="0"/>
        <charset val="1"/>
      </rPr>
      <t xml:space="preserve">connection section </t>
    </r>
    <r>
      <rPr>
        <sz val="10"/>
        <color rgb="FF000000"/>
        <rFont val="Noto Sans CJK SC"/>
        <family val="2"/>
      </rPr>
      <t xml:space="preserve">从哪里找下游连接。</t>
    </r>
  </si>
  <si>
    <r>
      <rPr>
        <sz val="10"/>
        <color rgb="FF000000"/>
        <rFont val="Microsoft YaHei"/>
        <family val="0"/>
        <charset val="1"/>
      </rPr>
      <t xml:space="preserve">R-08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R-09</t>
    </r>
  </si>
  <si>
    <r>
      <rPr>
        <sz val="10"/>
        <color rgb="FF000000"/>
        <rFont val="Noto Sans CJK SC"/>
        <family val="2"/>
      </rPr>
      <t xml:space="preserve">能说出 </t>
    </r>
    <r>
      <rPr>
        <sz val="10"/>
        <color rgb="FF000000"/>
        <rFont val="Microsoft YaHei"/>
        <family val="0"/>
        <charset val="1"/>
      </rPr>
      <t xml:space="preserve">Tomcat Pattern </t>
    </r>
    <r>
      <rPr>
        <sz val="10"/>
        <color rgb="FF000000"/>
        <rFont val="Noto Sans CJK SC"/>
        <family val="2"/>
      </rPr>
      <t xml:space="preserve">识别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的依据，以及它从哪里找出站连接</t>
    </r>
  </si>
  <si>
    <r>
      <rPr>
        <sz val="10"/>
        <color rgb="FF000000"/>
        <rFont val="Microsoft YaHei"/>
        <family val="0"/>
        <charset val="1"/>
      </rPr>
      <t xml:space="preserve">F31-1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F31-2</t>
    </r>
  </si>
  <si>
    <t xml:space="preserve">L-06</t>
  </si>
  <si>
    <r>
      <rPr>
        <b val="true"/>
        <sz val="10"/>
        <color rgb="FF000000"/>
        <rFont val="Noto Sans CJK SC"/>
        <family val="2"/>
      </rPr>
      <t xml:space="preserve">前提条件：</t>
    </r>
    <r>
      <rPr>
        <b val="true"/>
        <sz val="10"/>
        <color rgb="FF000000"/>
        <rFont val="Microsoft YaHei"/>
        <family val="0"/>
        <charset val="1"/>
      </rPr>
      <t xml:space="preserve">MID </t>
    </r>
    <r>
      <rPr>
        <b val="true"/>
        <sz val="10"/>
        <color rgb="FF000000"/>
        <rFont val="Noto Sans CJK SC"/>
        <family val="2"/>
      </rPr>
      <t xml:space="preserve">选择与凭据</t>
    </r>
  </si>
  <si>
    <r>
      <rPr>
        <sz val="10"/>
        <color rgb="FF000000"/>
        <rFont val="Microsoft YaHei"/>
        <family val="0"/>
        <charset val="1"/>
      </rPr>
      <t xml:space="preserve">Service Mapping </t>
    </r>
    <r>
      <rPr>
        <sz val="10"/>
        <color rgb="FF000000"/>
        <rFont val="Noto Sans CJK SC"/>
        <family val="2"/>
      </rPr>
      <t xml:space="preserve">怎么选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？没有符合条件的 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会怎样？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Microsoft YaHei"/>
        <family val="0"/>
        <charset val="1"/>
      </rPr>
      <t xml:space="preserve">Unix </t>
    </r>
    <r>
      <rPr>
        <sz val="10"/>
        <color rgb="FF000000"/>
        <rFont val="Noto Sans CJK SC"/>
        <family val="2"/>
      </rPr>
      <t xml:space="preserve">和 </t>
    </r>
    <r>
      <rPr>
        <sz val="10"/>
        <color rgb="FF000000"/>
        <rFont val="Microsoft YaHei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上分别要什么凭据？为什么 </t>
    </r>
    <r>
      <rPr>
        <sz val="10"/>
        <color rgb="FF000000"/>
        <rFont val="Microsoft YaHei"/>
        <family val="0"/>
        <charset val="1"/>
      </rPr>
      <t xml:space="preserve">Unix </t>
    </r>
    <r>
      <rPr>
        <sz val="10"/>
        <color rgb="FF000000"/>
        <rFont val="Noto Sans CJK SC"/>
        <family val="2"/>
      </rPr>
      <t xml:space="preserve">要 </t>
    </r>
    <r>
      <rPr>
        <sz val="10"/>
        <color rgb="FF000000"/>
        <rFont val="Microsoft YaHei"/>
        <family val="0"/>
        <charset val="1"/>
      </rPr>
      <t xml:space="preserve">sudo</t>
    </r>
    <r>
      <rPr>
        <sz val="10"/>
        <color rgb="FF000000"/>
        <rFont val="Noto Sans CJK SC"/>
        <family val="2"/>
      </rPr>
      <t xml:space="preserve">？目标是日文 </t>
    </r>
    <r>
      <rPr>
        <sz val="10"/>
        <color rgb="FF000000"/>
        <rFont val="Microsoft YaHei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时要注意什么？</t>
    </r>
  </si>
  <si>
    <r>
      <rPr>
        <sz val="10"/>
        <color rgb="FF000000"/>
        <rFont val="Noto Sans CJK SC"/>
        <family val="2"/>
      </rPr>
      <t xml:space="preserve">读 </t>
    </r>
    <r>
      <rPr>
        <sz val="10"/>
        <color rgb="FF000000"/>
        <rFont val="Microsoft YaHei"/>
        <family val="0"/>
        <charset val="1"/>
      </rPr>
      <t xml:space="preserve">R-10 </t>
    </r>
    <r>
      <rPr>
        <sz val="10"/>
        <color rgb="FF000000"/>
        <rFont val="Noto Sans CJK SC"/>
        <family val="2"/>
      </rPr>
      <t xml:space="preserve">的 “</t>
    </r>
    <r>
      <rPr>
        <sz val="10"/>
        <color rgb="FF000000"/>
        <rFont val="Microsoft YaHei"/>
        <family val="0"/>
        <charset val="1"/>
      </rPr>
      <t xml:space="preserve">MID Server selection criteria”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R-07 </t>
    </r>
    <r>
      <rPr>
        <sz val="10"/>
        <color rgb="FF000000"/>
        <rFont val="Noto Sans CJK SC"/>
        <family val="2"/>
      </rPr>
      <t xml:space="preserve">只看开头总述和 </t>
    </r>
    <r>
      <rPr>
        <sz val="10"/>
        <color rgb="FF000000"/>
        <rFont val="Microsoft YaHei"/>
        <family val="0"/>
        <charset val="1"/>
      </rPr>
      <t xml:space="preserve">Apache Tomcat </t>
    </r>
    <r>
      <rPr>
        <sz val="10"/>
        <color rgb="FF000000"/>
        <rFont val="Noto Sans CJK SC"/>
        <family val="2"/>
      </rPr>
      <t xml:space="preserve">一行；</t>
    </r>
    <r>
      <rPr>
        <sz val="10"/>
        <color rgb="FF000000"/>
        <rFont val="Microsoft YaHei"/>
        <family val="0"/>
        <charset val="1"/>
      </rPr>
      <t xml:space="preserve">R-11 </t>
    </r>
    <r>
      <rPr>
        <sz val="10"/>
        <color rgb="FF000000"/>
        <rFont val="Noto Sans CJK SC"/>
        <family val="2"/>
      </rPr>
      <t xml:space="preserve">扫一眼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用到的命令（</t>
    </r>
    <r>
      <rPr>
        <sz val="10"/>
        <color rgb="FF000000"/>
        <rFont val="Microsoft YaHei"/>
        <family val="0"/>
        <charset val="1"/>
      </rPr>
      <t xml:space="preserve">grep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cat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find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netstat </t>
    </r>
    <r>
      <rPr>
        <sz val="10"/>
        <color rgb="FF000000"/>
        <rFont val="Noto Sans CJK SC"/>
        <family val="2"/>
      </rPr>
      <t xml:space="preserve">等）；</t>
    </r>
    <r>
      <rPr>
        <sz val="10"/>
        <color rgb="FF000000"/>
        <rFont val="Microsoft YaHei"/>
        <family val="0"/>
        <charset val="1"/>
      </rPr>
      <t xml:space="preserve">R-12 </t>
    </r>
    <r>
      <rPr>
        <sz val="10"/>
        <color rgb="FF000000"/>
        <rFont val="Noto Sans CJK SC"/>
        <family val="2"/>
      </rPr>
      <t xml:space="preserve">了解 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属性 </t>
    </r>
    <r>
      <rPr>
        <sz val="10"/>
        <color rgb="FF000000"/>
        <rFont val="Microsoft YaHei"/>
        <family val="0"/>
        <charset val="1"/>
      </rPr>
      <t xml:space="preserve">mid.servicewatch.wmi.mui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</si>
  <si>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Microsoft YaHei"/>
        <family val="0"/>
        <charset val="1"/>
      </rPr>
      <t xml:space="preserve">R-07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R-12</t>
    </r>
  </si>
  <si>
    <r>
      <rPr>
        <sz val="10"/>
        <color rgb="FF000000"/>
        <rFont val="Noto Sans CJK SC"/>
        <family val="2"/>
      </rPr>
      <t xml:space="preserve">能列出导致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失败的 </t>
    </r>
    <r>
      <rPr>
        <sz val="10"/>
        <color rgb="FF000000"/>
        <rFont val="Microsoft YaHei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类前提：没有合适的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、凭据或权限不足、</t>
    </r>
    <r>
      <rPr>
        <sz val="10"/>
        <color rgb="FF000000"/>
        <rFont val="Microsoft YaHei"/>
        <family val="0"/>
        <charset val="1"/>
      </rPr>
      <t xml:space="preserve">OS </t>
    </r>
    <r>
      <rPr>
        <sz val="10"/>
        <color rgb="FF000000"/>
        <rFont val="Noto Sans CJK SC"/>
        <family val="2"/>
      </rPr>
      <t xml:space="preserve">语言不是英语</t>
    </r>
  </si>
  <si>
    <r>
      <rPr>
        <sz val="10"/>
        <color rgb="FF000000"/>
        <rFont val="Microsoft YaHei"/>
        <family val="0"/>
        <charset val="1"/>
      </rPr>
      <t xml:space="preserve">F30-1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F31-1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F32-2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NF59</t>
    </r>
  </si>
  <si>
    <t xml:space="preserve">L-07</t>
  </si>
  <si>
    <t xml:space="preserve">建议</t>
  </si>
  <si>
    <r>
      <rPr>
        <b val="true"/>
        <sz val="10"/>
        <color rgb="FF000000"/>
        <rFont val="Noto Sans CJK SC"/>
        <family val="2"/>
      </rPr>
      <t xml:space="preserve">经 </t>
    </r>
    <r>
      <rPr>
        <b val="true"/>
        <sz val="10"/>
        <color rgb="FF000000"/>
        <rFont val="Microsoft YaHei"/>
        <family val="0"/>
        <charset val="1"/>
      </rPr>
      <t xml:space="preserve">ACC </t>
    </r>
    <r>
      <rPr>
        <b val="true"/>
        <sz val="10"/>
        <color rgb="FF000000"/>
        <rFont val="Noto Sans CJK SC"/>
        <family val="2"/>
      </rPr>
      <t xml:space="preserve">执行 </t>
    </r>
    <r>
      <rPr>
        <b val="true"/>
        <sz val="10"/>
        <color rgb="FF000000"/>
        <rFont val="Microsoft YaHei"/>
        <family val="0"/>
        <charset val="1"/>
      </rPr>
      <t xml:space="preserve">Top-down</t>
    </r>
  </si>
  <si>
    <r>
      <rPr>
        <sz val="10"/>
        <color rgb="FF000000"/>
        <rFont val="Noto Sans CJK SC"/>
        <family val="2"/>
      </rPr>
      <t xml:space="preserve">属性 </t>
    </r>
    <r>
      <rPr>
        <sz val="10"/>
        <color rgb="FF000000"/>
        <rFont val="Microsoft YaHei"/>
        <family val="0"/>
        <charset val="1"/>
      </rPr>
      <t xml:space="preserve">sa.topdown.mapping_with_acc_mode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各是什么行为？用 </t>
    </r>
    <r>
      <rPr>
        <sz val="10"/>
        <color rgb="FF000000"/>
        <rFont val="Microsoft YaHei"/>
        <family val="0"/>
        <charset val="1"/>
      </rPr>
      <t xml:space="preserve">ACC </t>
    </r>
    <r>
      <rPr>
        <sz val="10"/>
        <color rgb="FF000000"/>
        <rFont val="Noto Sans CJK SC"/>
        <family val="2"/>
      </rPr>
      <t xml:space="preserve">执行时会选哪台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？</t>
    </r>
  </si>
  <si>
    <r>
      <rPr>
        <sz val="10"/>
        <color rgb="FF000000"/>
        <rFont val="Noto Sans CJK SC"/>
        <family val="2"/>
      </rPr>
      <t xml:space="preserve">读 </t>
    </r>
    <r>
      <rPr>
        <sz val="10"/>
        <color rgb="FF000000"/>
        <rFont val="Microsoft YaHei"/>
        <family val="0"/>
        <charset val="1"/>
      </rPr>
      <t xml:space="preserve">R-13</t>
    </r>
    <r>
      <rPr>
        <sz val="10"/>
        <color rgb="FF000000"/>
        <rFont val="Noto Sans CJK SC"/>
        <family val="2"/>
      </rPr>
      <t xml:space="preserve">；在实例 </t>
    </r>
    <r>
      <rPr>
        <sz val="10"/>
        <color rgb="FF000000"/>
        <rFont val="Microsoft YaHei"/>
        <family val="0"/>
        <charset val="1"/>
      </rPr>
      <t xml:space="preserve">sys_properties </t>
    </r>
    <r>
      <rPr>
        <sz val="10"/>
        <color rgb="FF000000"/>
        <rFont val="Noto Sans CJK SC"/>
        <family val="2"/>
      </rPr>
      <t xml:space="preserve">中查该属性的当前值（只看不改）。</t>
    </r>
  </si>
  <si>
    <t xml:space="preserve">R-13</t>
  </si>
  <si>
    <t xml:space="preserve">记下当前值及其含义</t>
  </si>
  <si>
    <r>
      <rPr>
        <sz val="10"/>
        <color rgb="FF000000"/>
        <rFont val="Microsoft YaHei"/>
        <family val="0"/>
        <charset val="1"/>
      </rPr>
      <t xml:space="preserve">F34-1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F34-2</t>
    </r>
  </si>
  <si>
    <t xml:space="preserve">L-08</t>
  </si>
  <si>
    <t xml:space="preserve">下午｜实操</t>
  </si>
  <si>
    <t xml:space="preserve">就绪检查</t>
  </si>
  <si>
    <r>
      <rPr>
        <sz val="10"/>
        <color rgb="FF000000"/>
        <rFont val="Microsoft YaHei"/>
        <family val="0"/>
        <charset val="1"/>
      </rPr>
      <t xml:space="preserve">Readiness Checklist </t>
    </r>
    <r>
      <rPr>
        <sz val="10"/>
        <color rgb="FF000000"/>
        <rFont val="Noto Sans CJK SC"/>
        <family val="2"/>
      </rPr>
      <t xml:space="preserve">的必需项是否全部通过？可选项缺了什么？</t>
    </r>
  </si>
  <si>
    <r>
      <rPr>
        <sz val="10"/>
        <color rgb="FF000000"/>
        <rFont val="Microsoft YaHei"/>
        <family val="0"/>
        <charset val="1"/>
      </rPr>
      <t xml:space="preserve">All &gt; Service Mapping &gt; Home</t>
    </r>
    <r>
      <rPr>
        <sz val="10"/>
        <color rgb="FF000000"/>
        <rFont val="Noto Sans CJK SC"/>
        <family val="2"/>
      </rPr>
      <t xml:space="preserve">，打开 </t>
    </r>
    <r>
      <rPr>
        <sz val="10"/>
        <color rgb="FF000000"/>
        <rFont val="Microsoft YaHei"/>
        <family val="0"/>
        <charset val="1"/>
      </rPr>
      <t xml:space="preserve">Readiness Checklist</t>
    </r>
    <r>
      <rPr>
        <sz val="10"/>
        <color rgb="FF000000"/>
        <rFont val="Noto Sans CJK SC"/>
        <family val="2"/>
      </rPr>
      <t xml:space="preserve">，逐项查看状态。</t>
    </r>
  </si>
  <si>
    <t xml:space="preserve">R-14</t>
  </si>
  <si>
    <t xml:space="preserve">截图并记下未通过的项目</t>
  </si>
  <si>
    <t xml:space="preserve">L-09</t>
  </si>
  <si>
    <r>
      <rPr>
        <b val="true"/>
        <sz val="10"/>
        <color rgb="FF000000"/>
        <rFont val="Noto Sans CJK SC"/>
        <family val="2"/>
      </rPr>
      <t xml:space="preserve">确认 </t>
    </r>
    <r>
      <rPr>
        <b val="true"/>
        <sz val="10"/>
        <color rgb="FF000000"/>
        <rFont val="Microsoft YaHei"/>
        <family val="0"/>
        <charset val="1"/>
      </rPr>
      <t xml:space="preserve">Tomcat </t>
    </r>
    <r>
      <rPr>
        <b val="true"/>
        <sz val="10"/>
        <color rgb="FF000000"/>
        <rFont val="Noto Sans CJK SC"/>
        <family val="2"/>
      </rPr>
      <t xml:space="preserve">的端口和主机 </t>
    </r>
    <r>
      <rPr>
        <b val="true"/>
        <sz val="10"/>
        <color rgb="FF000000"/>
        <rFont val="Microsoft YaHei"/>
        <family val="0"/>
        <charset val="1"/>
      </rPr>
      <t xml:space="preserve">CI</t>
    </r>
  </si>
  <si>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实际监听哪个端口？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能否访问到？横向发现时是否已经生成了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的应用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？</t>
    </r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</si>
  <si>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Microsoft YaHei"/>
        <family val="0"/>
        <charset val="1"/>
      </rPr>
      <t xml:space="preserve">VM </t>
    </r>
    <r>
      <rPr>
        <sz val="10"/>
        <color rgb="FF000000"/>
        <rFont val="Noto Sans CJK SC"/>
        <family val="2"/>
      </rPr>
      <t xml:space="preserve">上确认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监听端口（默认常见为 </t>
    </r>
    <r>
      <rPr>
        <sz val="10"/>
        <color rgb="FF000000"/>
        <rFont val="Microsoft YaHei"/>
        <family val="0"/>
        <charset val="1"/>
      </rPr>
      <t xml:space="preserve">8080</t>
    </r>
    <r>
      <rPr>
        <sz val="10"/>
        <color rgb="FF000000"/>
        <rFont val="Noto Sans CJK SC"/>
        <family val="2"/>
      </rPr>
      <t xml:space="preserve">，以实际为准）；在 </t>
    </r>
    <r>
      <rPr>
        <sz val="10"/>
        <color rgb="FF000000"/>
        <rFont val="Microsoft YaHei"/>
        <family val="0"/>
        <charset val="1"/>
      </rPr>
      <t xml:space="preserve">CMDB </t>
    </r>
    <r>
      <rPr>
        <sz val="10"/>
        <color rgb="FF000000"/>
        <rFont val="Noto Sans CJK SC"/>
        <family val="2"/>
      </rPr>
      <t xml:space="preserve">中查主机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sys_id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Microsoft YaHei"/>
        <family val="0"/>
        <charset val="1"/>
      </rPr>
      <t xml:space="preserve">cmdb_ci_app_server_tomcat </t>
    </r>
    <r>
      <rPr>
        <sz val="10"/>
        <color rgb="FF000000"/>
        <rFont val="Noto Sans CJK SC"/>
        <family val="2"/>
      </rPr>
      <t xml:space="preserve">中是否已有该主机上的 </t>
    </r>
    <r>
      <rPr>
        <sz val="10"/>
        <color rgb="FF000000"/>
        <rFont val="Microsoft YaHei"/>
        <family val="0"/>
        <charset val="1"/>
      </rPr>
      <t xml:space="preserve">Tomcat</t>
    </r>
    <r>
      <rPr>
        <sz val="10"/>
        <color rgb="FF000000"/>
        <rFont val="Noto Sans CJK SC"/>
        <family val="2"/>
      </rPr>
      <t xml:space="preserve">。</t>
    </r>
  </si>
  <si>
    <t xml:space="preserve">R-07</t>
  </si>
  <si>
    <r>
      <rPr>
        <sz val="10"/>
        <color rgb="FF000000"/>
        <rFont val="Noto Sans CJK SC"/>
        <family val="2"/>
      </rPr>
      <t xml:space="preserve">记下 </t>
    </r>
    <r>
      <rPr>
        <sz val="10"/>
        <color rgb="FF000000"/>
        <rFont val="Microsoft YaHei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、端口、主机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sys_id</t>
    </r>
    <r>
      <rPr>
        <sz val="10"/>
        <color rgb="FF000000"/>
        <rFont val="Noto Sans CJK SC"/>
        <family val="2"/>
      </rPr>
      <t xml:space="preserve">、是否已有 </t>
    </r>
    <r>
      <rPr>
        <sz val="10"/>
        <color rgb="FF000000"/>
        <rFont val="Microsoft YaHei"/>
        <family val="0"/>
        <charset val="1"/>
      </rPr>
      <t xml:space="preserve">Tomcat CI</t>
    </r>
  </si>
  <si>
    <t xml:space="preserve">F31-1</t>
  </si>
  <si>
    <t xml:space="preserve">L-10</t>
  </si>
  <si>
    <t xml:space="preserve">创建测试服务并执行发现</t>
  </si>
  <si>
    <r>
      <rPr>
        <sz val="10"/>
        <color rgb="FF000000"/>
        <rFont val="Microsoft YaHei"/>
        <family val="0"/>
        <charset val="1"/>
      </rPr>
      <t xml:space="preserve">Define A Single Service Map </t>
    </r>
    <r>
      <rPr>
        <sz val="10"/>
        <color rgb="FF000000"/>
        <rFont val="Noto Sans CJK SC"/>
        <family val="2"/>
      </rPr>
      <t xml:space="preserve">的每一步在做什么？保存后服务记录写到哪张表？</t>
    </r>
  </si>
  <si>
    <r>
      <rPr>
        <sz val="10"/>
        <color rgb="FF000000"/>
        <rFont val="Microsoft YaHei"/>
        <family val="0"/>
        <charset val="1"/>
      </rPr>
      <t xml:space="preserve">Service Mapping &gt; Home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Microsoft YaHei"/>
        <family val="0"/>
        <charset val="1"/>
      </rPr>
      <t xml:space="preserve">Map </t>
    </r>
    <r>
      <rPr>
        <sz val="10"/>
        <color rgb="FF000000"/>
        <rFont val="Noto Sans CJK SC"/>
        <family val="2"/>
      </rPr>
      <t xml:space="preserve">下选 </t>
    </r>
    <r>
      <rPr>
        <sz val="10"/>
        <color rgb="FF000000"/>
        <rFont val="Microsoft YaHei"/>
        <family val="0"/>
        <charset val="1"/>
      </rPr>
      <t xml:space="preserve">Additional options &gt; Define A Single Service Map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Name </t>
    </r>
    <r>
      <rPr>
        <sz val="10"/>
        <color rgb="FF000000"/>
        <rFont val="Noto Sans CJK SC"/>
        <family val="2"/>
      </rPr>
      <t xml:space="preserve">填测试名（如 </t>
    </r>
    <r>
      <rPr>
        <sz val="10"/>
        <color rgb="FF000000"/>
        <rFont val="Microsoft YaHei"/>
        <family val="0"/>
        <charset val="1"/>
      </rPr>
      <t xml:space="preserve">TD-LAB-Tomcat</t>
    </r>
    <r>
      <rPr>
        <sz val="10"/>
        <color rgb="FF000000"/>
        <rFont val="Noto Sans CJK SC"/>
        <family val="2"/>
      </rPr>
      <t xml:space="preserve">），选 </t>
    </r>
    <r>
      <rPr>
        <sz val="10"/>
        <color rgb="FF000000"/>
        <rFont val="Microsoft YaHei"/>
        <family val="0"/>
        <charset val="1"/>
      </rPr>
      <t xml:space="preserve">Owner</t>
    </r>
    <r>
      <rPr>
        <sz val="10"/>
        <color rgb="FF000000"/>
        <rFont val="Noto Sans CJK SC"/>
        <family val="2"/>
      </rPr>
      <t xml:space="preserve">；入口选 </t>
    </r>
    <r>
      <rPr>
        <sz val="10"/>
        <color rgb="FF000000"/>
        <rFont val="Microsoft YaHei"/>
        <family val="0"/>
        <charset val="1"/>
      </rPr>
      <t xml:space="preserve">Web Application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Microsoft YaHei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填 </t>
    </r>
    <r>
      <rPr>
        <sz val="10"/>
        <color rgb="FF000000"/>
        <rFont val="Microsoft YaHei"/>
        <family val="0"/>
        <charset val="1"/>
      </rPr>
      <t xml:space="preserve">http://&lt;IP&gt;:&lt;</t>
    </r>
    <r>
      <rPr>
        <sz val="10"/>
        <color rgb="FF000000"/>
        <rFont val="Noto Sans CJK SC"/>
        <family val="2"/>
      </rPr>
      <t xml:space="preserve">端口</t>
    </r>
    <r>
      <rPr>
        <sz val="10"/>
        <color rgb="FF000000"/>
        <rFont val="Microsoft YaHei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（端口一定要写）；点 </t>
    </r>
    <r>
      <rPr>
        <sz val="10"/>
        <color rgb="FF000000"/>
        <rFont val="Microsoft YaHei"/>
        <family val="0"/>
        <charset val="1"/>
      </rPr>
      <t xml:space="preserve">View Map </t>
    </r>
    <r>
      <rPr>
        <sz val="10"/>
        <color rgb="FF000000"/>
        <rFont val="Noto Sans CJK SC"/>
        <family val="2"/>
      </rPr>
      <t xml:space="preserve">开始发现。</t>
    </r>
  </si>
  <si>
    <t xml:space="preserve">R-06</t>
  </si>
  <si>
    <r>
      <rPr>
        <sz val="10"/>
        <color rgb="FF000000"/>
        <rFont val="Noto Sans CJK SC"/>
        <family val="2"/>
      </rPr>
      <t xml:space="preserve">地图出现（哪怕只有入口和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两层）；</t>
    </r>
    <r>
      <rPr>
        <sz val="10"/>
        <color rgb="FF000000"/>
        <rFont val="Microsoft YaHei"/>
        <family val="0"/>
        <charset val="1"/>
      </rPr>
      <t xml:space="preserve">cmdb_ci_service_discovered </t>
    </r>
    <r>
      <rPr>
        <sz val="10"/>
        <color rgb="FF000000"/>
        <rFont val="Noto Sans CJK SC"/>
        <family val="2"/>
      </rPr>
      <t xml:space="preserve">中有该服务</t>
    </r>
  </si>
  <si>
    <t xml:space="preserve">F30-2</t>
  </si>
  <si>
    <t xml:space="preserve">L-11</t>
  </si>
  <si>
    <t xml:space="preserve">读懂发现结果</t>
  </si>
  <si>
    <r>
      <rPr>
        <sz val="10"/>
        <color rgb="FF000000"/>
        <rFont val="Noto Sans CJK SC"/>
        <family val="2"/>
      </rPr>
      <t xml:space="preserve">用了哪台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？匹配了哪个 </t>
    </r>
    <r>
      <rPr>
        <sz val="10"/>
        <color rgb="FF000000"/>
        <rFont val="Microsoft YaHei"/>
        <family val="0"/>
        <charset val="1"/>
      </rPr>
      <t xml:space="preserve">Pattern</t>
    </r>
    <r>
      <rPr>
        <sz val="10"/>
        <color rgb="FF000000"/>
        <rFont val="Noto Sans CJK SC"/>
        <family val="2"/>
      </rPr>
      <t xml:space="preserve">？生成或更新了哪些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和关系？主机是不是 </t>
    </r>
    <r>
      <rPr>
        <sz val="10"/>
        <color rgb="FF000000"/>
        <rFont val="Microsoft YaHei"/>
        <family val="0"/>
        <charset val="1"/>
      </rPr>
      <t xml:space="preserve">L-09 </t>
    </r>
    <r>
      <rPr>
        <sz val="10"/>
        <color rgb="FF000000"/>
        <rFont val="Noto Sans CJK SC"/>
        <family val="2"/>
      </rPr>
      <t xml:space="preserve">的同一个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？服务成员在哪里看？</t>
    </r>
  </si>
  <si>
    <r>
      <rPr>
        <sz val="10"/>
        <color rgb="FF000000"/>
        <rFont val="Noto Sans CJK SC"/>
        <family val="2"/>
      </rPr>
      <t xml:space="preserve">看地图（点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看详情）和 </t>
    </r>
    <r>
      <rPr>
        <sz val="10"/>
        <color rgb="FF000000"/>
        <rFont val="Microsoft YaHei"/>
        <family val="0"/>
        <charset val="1"/>
      </rPr>
      <t xml:space="preserve">Discovery Messages </t>
    </r>
    <r>
      <rPr>
        <sz val="10"/>
        <color rgb="FF000000"/>
        <rFont val="Noto Sans CJK SC"/>
        <family val="2"/>
      </rPr>
      <t xml:space="preserve">页签；查发现日志和 </t>
    </r>
    <r>
      <rPr>
        <sz val="10"/>
        <color rgb="FF000000"/>
        <rFont val="Microsoft YaHei"/>
        <family val="0"/>
        <charset val="1"/>
      </rPr>
      <t xml:space="preserve">ECC Queue </t>
    </r>
    <r>
      <rPr>
        <sz val="10"/>
        <color rgb="FF000000"/>
        <rFont val="Noto Sans CJK SC"/>
        <family val="2"/>
      </rPr>
      <t xml:space="preserve">的处理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；查 </t>
    </r>
    <r>
      <rPr>
        <sz val="10"/>
        <color rgb="FF000000"/>
        <rFont val="Microsoft YaHei"/>
        <family val="0"/>
        <charset val="1"/>
      </rPr>
      <t xml:space="preserve">cmdb_ci_app_server_tomcat</t>
    </r>
    <r>
      <rPr>
        <sz val="10"/>
        <color rgb="FF000000"/>
        <rFont val="Noto Sans CJK SC"/>
        <family val="2"/>
      </rPr>
      <t xml:space="preserve">（和 </t>
    </r>
    <r>
      <rPr>
        <sz val="10"/>
        <color rgb="FF000000"/>
        <rFont val="Microsoft YaHei"/>
        <family val="0"/>
        <charset val="1"/>
      </rPr>
      <t xml:space="preserve">cmdb_ci_app_server_tomcat_war</t>
    </r>
    <r>
      <rPr>
        <sz val="10"/>
        <color rgb="FF000000"/>
        <rFont val="Noto Sans CJK SC"/>
        <family val="2"/>
      </rPr>
      <t xml:space="preserve">，若有）；比对主机 </t>
    </r>
    <r>
      <rPr>
        <sz val="10"/>
        <color rgb="FF000000"/>
        <rFont val="Microsoft YaHei"/>
        <family val="0"/>
        <charset val="1"/>
      </rPr>
      <t xml:space="preserve">sys_id</t>
    </r>
    <r>
      <rPr>
        <sz val="10"/>
        <color rgb="FF000000"/>
        <rFont val="Noto Sans CJK SC"/>
        <family val="2"/>
      </rPr>
      <t xml:space="preserve">；在 </t>
    </r>
    <r>
      <rPr>
        <sz val="10"/>
        <color rgb="FF000000"/>
        <rFont val="Microsoft YaHei"/>
        <family val="0"/>
        <charset val="1"/>
      </rPr>
      <t xml:space="preserve">svc_ci_assoc </t>
    </r>
    <r>
      <rPr>
        <sz val="10"/>
        <color rgb="FF000000"/>
        <rFont val="Noto Sans CJK SC"/>
        <family val="2"/>
      </rPr>
      <t xml:space="preserve">中按服务查成员。</t>
    </r>
  </si>
  <si>
    <r>
      <rPr>
        <sz val="10"/>
        <color rgb="FF000000"/>
        <rFont val="Microsoft YaHei"/>
        <family val="0"/>
        <charset val="1"/>
      </rPr>
      <t xml:space="preserve">R-15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R-22</t>
    </r>
  </si>
  <si>
    <r>
      <rPr>
        <sz val="10"/>
        <color rgb="FF000000"/>
        <rFont val="Noto Sans CJK SC"/>
        <family val="2"/>
      </rPr>
      <t xml:space="preserve">在笔记写出“入口 → </t>
    </r>
    <r>
      <rPr>
        <sz val="10"/>
        <color rgb="FF000000"/>
        <rFont val="Microsoft YaHei"/>
        <family val="0"/>
        <charset val="1"/>
      </rPr>
      <t xml:space="preserve">Tomcat → </t>
    </r>
    <r>
      <rPr>
        <sz val="10"/>
        <color rgb="FF000000"/>
        <rFont val="Noto Sans CJK SC"/>
        <family val="2"/>
      </rPr>
      <t xml:space="preserve">主机”的实际结果，以及每一项在哪里看</t>
    </r>
  </si>
  <si>
    <r>
      <rPr>
        <sz val="10"/>
        <color rgb="FF000000"/>
        <rFont val="Microsoft YaHei"/>
        <family val="0"/>
        <charset val="1"/>
      </rPr>
      <t xml:space="preserve">F31-1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F31-2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NF49</t>
    </r>
  </si>
  <si>
    <t xml:space="preserve">L-12</t>
  </si>
  <si>
    <t xml:space="preserve">异常：入口找不到应用</t>
  </si>
  <si>
    <t xml:space="preserve">入口端口上没有服务时，地图和消息是什么样？服务会不会看起来像已完成？</t>
  </si>
  <si>
    <r>
      <rPr>
        <sz val="10"/>
        <color rgb="FF000000"/>
        <rFont val="Noto Sans CJK SC"/>
        <family val="2"/>
      </rPr>
      <t xml:space="preserve">另建一个测试服务，入口用没有服务在监听的端口（如 </t>
    </r>
    <r>
      <rPr>
        <sz val="10"/>
        <color rgb="FF000000"/>
        <rFont val="Microsoft YaHei"/>
        <family val="0"/>
        <charset val="1"/>
      </rPr>
      <t xml:space="preserve">8081</t>
    </r>
    <r>
      <rPr>
        <sz val="10"/>
        <color rgb="FF000000"/>
        <rFont val="Noto Sans CJK SC"/>
        <family val="2"/>
      </rPr>
      <t xml:space="preserve">，先确认确实没有在用）；观察地图和 </t>
    </r>
    <r>
      <rPr>
        <sz val="10"/>
        <color rgb="FF000000"/>
        <rFont val="Microsoft YaHei"/>
        <family val="0"/>
        <charset val="1"/>
      </rPr>
      <t xml:space="preserve">Discovery Messages</t>
    </r>
    <r>
      <rPr>
        <sz val="10"/>
        <color rgb="FF000000"/>
        <rFont val="Noto Sans CJK SC"/>
        <family val="2"/>
      </rPr>
      <t xml:space="preserve">；结束后删除该测试服务。</t>
    </r>
  </si>
  <si>
    <t xml:space="preserve">R-15</t>
  </si>
  <si>
    <t xml:space="preserve">记下实际出现的消息原文和服务状态</t>
  </si>
  <si>
    <t xml:space="preserve">F32-1</t>
  </si>
  <si>
    <t xml:space="preserve">L-13</t>
  </si>
  <si>
    <r>
      <rPr>
        <b val="true"/>
        <sz val="10"/>
        <color rgb="FF000000"/>
        <rFont val="Noto Sans CJK SC"/>
        <family val="2"/>
      </rPr>
      <t xml:space="preserve">异常：已映射的 </t>
    </r>
    <r>
      <rPr>
        <b val="true"/>
        <sz val="10"/>
        <color rgb="FF000000"/>
        <rFont val="Microsoft YaHei"/>
        <family val="0"/>
        <charset val="1"/>
      </rPr>
      <t xml:space="preserve">CI </t>
    </r>
    <r>
      <rPr>
        <b val="true"/>
        <sz val="10"/>
        <color rgb="FF000000"/>
        <rFont val="Noto Sans CJK SC"/>
        <family val="2"/>
      </rPr>
      <t xml:space="preserve">重新发现失败</t>
    </r>
  </si>
  <si>
    <t xml:space="preserve">已映射的应用停掉后再发现，地图怎么显示？恢复后需要做什么？</t>
  </si>
  <si>
    <r>
      <rPr>
        <sz val="10"/>
        <color rgb="FF000000"/>
        <rFont val="Noto Sans CJK SC"/>
        <family val="2"/>
      </rPr>
      <t xml:space="preserve">停止 </t>
    </r>
    <r>
      <rPr>
        <sz val="10"/>
        <color rgb="FF000000"/>
        <rFont val="Microsoft YaHei"/>
        <family val="0"/>
        <charset val="1"/>
      </rPr>
      <t xml:space="preserve">Tomcat → </t>
    </r>
    <r>
      <rPr>
        <sz val="10"/>
        <color rgb="FF000000"/>
        <rFont val="Noto Sans CJK SC"/>
        <family val="2"/>
      </rPr>
      <t xml:space="preserve">在测试服务上 </t>
    </r>
    <r>
      <rPr>
        <sz val="10"/>
        <color rgb="FF000000"/>
        <rFont val="Microsoft YaHei"/>
        <family val="0"/>
        <charset val="1"/>
      </rPr>
      <t xml:space="preserve">Run Discovery → </t>
    </r>
    <r>
      <rPr>
        <sz val="10"/>
        <color rgb="FF000000"/>
        <rFont val="Noto Sans CJK SC"/>
        <family val="2"/>
      </rPr>
      <t xml:space="preserve">观察灰显和消息 → 启动 </t>
    </r>
    <r>
      <rPr>
        <sz val="10"/>
        <color rgb="FF000000"/>
        <rFont val="Microsoft YaHei"/>
        <family val="0"/>
        <charset val="1"/>
      </rPr>
      <t xml:space="preserve">Tomcat → </t>
    </r>
    <r>
      <rPr>
        <sz val="10"/>
        <color rgb="FF000000"/>
        <rFont val="Noto Sans CJK SC"/>
        <family val="2"/>
      </rPr>
      <t xml:space="preserve">再 </t>
    </r>
    <r>
      <rPr>
        <sz val="10"/>
        <color rgb="FF000000"/>
        <rFont val="Microsoft YaHei"/>
        <family val="0"/>
        <charset val="1"/>
      </rPr>
      <t xml:space="preserve">Run Discovery</t>
    </r>
    <r>
      <rPr>
        <sz val="10"/>
        <color rgb="FF000000"/>
        <rFont val="Noto Sans CJK SC"/>
        <family val="2"/>
      </rPr>
      <t xml:space="preserve">，确认恢复。</t>
    </r>
  </si>
  <si>
    <t xml:space="preserve">记下灰显的样子和恢复所需的操作</t>
  </si>
  <si>
    <r>
      <rPr>
        <sz val="10"/>
        <color rgb="FF000000"/>
        <rFont val="Microsoft YaHei"/>
        <family val="0"/>
        <charset val="1"/>
      </rPr>
      <t xml:space="preserve">F32-3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NF56</t>
    </r>
  </si>
  <si>
    <t xml:space="preserve">L-14</t>
  </si>
  <si>
    <r>
      <rPr>
        <b val="true"/>
        <sz val="10"/>
        <color rgb="FF000000"/>
        <rFont val="Noto Sans CJK SC"/>
        <family val="2"/>
      </rPr>
      <t xml:space="preserve">异常：权限不足（</t>
    </r>
    <r>
      <rPr>
        <b val="true"/>
        <sz val="10"/>
        <color rgb="FF000000"/>
        <rFont val="Microsoft YaHei"/>
        <family val="0"/>
        <charset val="1"/>
      </rPr>
      <t xml:space="preserve">Linux </t>
    </r>
    <r>
      <rPr>
        <b val="true"/>
        <sz val="10"/>
        <color rgb="FF000000"/>
        <rFont val="Noto Sans CJK SC"/>
        <family val="2"/>
      </rPr>
      <t xml:space="preserve">时）</t>
    </r>
  </si>
  <si>
    <r>
      <rPr>
        <sz val="10"/>
        <color rgb="FF000000"/>
        <rFont val="Noto Sans CJK SC"/>
        <family val="2"/>
      </rPr>
      <t xml:space="preserve">能登录但没有 </t>
    </r>
    <r>
      <rPr>
        <sz val="10"/>
        <color rgb="FF000000"/>
        <rFont val="Microsoft YaHei"/>
        <family val="0"/>
        <charset val="1"/>
      </rPr>
      <t xml:space="preserve">sudo </t>
    </r>
    <r>
      <rPr>
        <sz val="10"/>
        <color rgb="FF000000"/>
        <rFont val="Noto Sans CJK SC"/>
        <family val="2"/>
      </rPr>
      <t xml:space="preserve">时，结果和消息是什么样？</t>
    </r>
  </si>
  <si>
    <r>
      <rPr>
        <sz val="10"/>
        <color rgb="FF000000"/>
        <rFont val="Noto Sans CJK SC"/>
        <family val="2"/>
      </rPr>
      <t xml:space="preserve">若 </t>
    </r>
    <r>
      <rPr>
        <sz val="10"/>
        <color rgb="FF000000"/>
        <rFont val="Microsoft YaHei"/>
        <family val="0"/>
        <charset val="1"/>
      </rPr>
      <t xml:space="preserve">VM </t>
    </r>
    <r>
      <rPr>
        <sz val="10"/>
        <color rgb="FF000000"/>
        <rFont val="Noto Sans CJK SC"/>
        <family val="2"/>
      </rPr>
      <t xml:space="preserve">为 </t>
    </r>
    <r>
      <rPr>
        <sz val="10"/>
        <color rgb="FF000000"/>
        <rFont val="Microsoft YaHei"/>
        <family val="0"/>
        <charset val="1"/>
      </rPr>
      <t xml:space="preserve">Linux</t>
    </r>
    <r>
      <rPr>
        <sz val="10"/>
        <color rgb="FF000000"/>
        <rFont val="Noto Sans CJK SC"/>
        <family val="2"/>
      </rPr>
      <t xml:space="preserve">，用一个能登录但没有 </t>
    </r>
    <r>
      <rPr>
        <sz val="10"/>
        <color rgb="FF000000"/>
        <rFont val="Microsoft YaHei"/>
        <family val="0"/>
        <charset val="1"/>
      </rPr>
      <t xml:space="preserve">sudo </t>
    </r>
    <r>
      <rPr>
        <sz val="10"/>
        <color rgb="FF000000"/>
        <rFont val="Noto Sans CJK SC"/>
        <family val="2"/>
      </rPr>
      <t xml:space="preserve">权限的测试账号作为 </t>
    </r>
    <r>
      <rPr>
        <sz val="10"/>
        <color rgb="FF000000"/>
        <rFont val="Microsoft YaHei"/>
        <family val="0"/>
        <charset val="1"/>
      </rPr>
      <t xml:space="preserve">Credential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Order </t>
    </r>
    <r>
      <rPr>
        <sz val="10"/>
        <color rgb="FF000000"/>
        <rFont val="Noto Sans CJK SC"/>
        <family val="2"/>
      </rPr>
      <t xml:space="preserve">设为优先）再发现，观察消息；结束后恢复。若为 </t>
    </r>
    <r>
      <rPr>
        <sz val="10"/>
        <color rgb="FF000000"/>
        <rFont val="Microsoft YaHei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或时间不够，可跳过并在笔记注明。</t>
    </r>
  </si>
  <si>
    <r>
      <rPr>
        <sz val="10"/>
        <color rgb="FF000000"/>
        <rFont val="Microsoft YaHei"/>
        <family val="0"/>
        <charset val="1"/>
      </rPr>
      <t xml:space="preserve">R-07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R-15</t>
    </r>
  </si>
  <si>
    <r>
      <rPr>
        <sz val="10"/>
        <color rgb="FF000000"/>
        <rFont val="Noto Sans CJK SC"/>
        <family val="2"/>
      </rPr>
      <t xml:space="preserve">记下消息原文（如 </t>
    </r>
    <r>
      <rPr>
        <sz val="10"/>
        <color rgb="FF000000"/>
        <rFont val="Microsoft YaHei"/>
        <family val="0"/>
        <charset val="1"/>
      </rPr>
      <t xml:space="preserve">Failed to execute command using sudo</t>
    </r>
    <r>
      <rPr>
        <sz val="10"/>
        <color rgb="FF000000"/>
        <rFont val="Noto Sans CJK SC"/>
        <family val="2"/>
      </rPr>
      <t xml:space="preserve">）</t>
    </r>
  </si>
  <si>
    <t xml:space="preserve">F32-2</t>
  </si>
  <si>
    <t xml:space="preserve">L-15</t>
  </si>
  <si>
    <t xml:space="preserve">定期重新发现</t>
  </si>
  <si>
    <r>
      <rPr>
        <sz val="10"/>
        <color rgb="FF000000"/>
        <rFont val="Noto Sans CJK SC"/>
        <family val="2"/>
      </rPr>
      <t xml:space="preserve">已映射的服务靠什么定期更新？哪些服务不会被按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类型的 </t>
    </r>
    <r>
      <rPr>
        <sz val="10"/>
        <color rgb="FF000000"/>
        <rFont val="Microsoft YaHei"/>
        <family val="0"/>
        <charset val="1"/>
      </rPr>
      <t xml:space="preserve">Schedule </t>
    </r>
    <r>
      <rPr>
        <sz val="10"/>
        <color rgb="FF000000"/>
        <rFont val="Noto Sans CJK SC"/>
        <family val="2"/>
      </rPr>
      <t xml:space="preserve">处理？</t>
    </r>
  </si>
  <si>
    <r>
      <rPr>
        <sz val="10"/>
        <color rgb="FF000000"/>
        <rFont val="Noto Sans CJK SC"/>
        <family val="2"/>
      </rPr>
      <t xml:space="preserve">查看 </t>
    </r>
    <r>
      <rPr>
        <sz val="10"/>
        <color rgb="FF000000"/>
        <rFont val="Microsoft YaHei"/>
        <family val="0"/>
        <charset val="1"/>
      </rPr>
      <t xml:space="preserve">Service Mapping </t>
    </r>
    <r>
      <rPr>
        <sz val="10"/>
        <color rgb="FF000000"/>
        <rFont val="Noto Sans CJK SC"/>
        <family val="2"/>
      </rPr>
      <t xml:space="preserve">的预置 </t>
    </r>
    <r>
      <rPr>
        <sz val="10"/>
        <color rgb="FF000000"/>
        <rFont val="Microsoft YaHei"/>
        <family val="0"/>
        <charset val="1"/>
      </rPr>
      <t xml:space="preserve">Schedule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All Applications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Load Balancer Service</t>
    </r>
    <r>
      <rPr>
        <sz val="10"/>
        <color rgb="FF000000"/>
        <rFont val="Noto Sans CJK SC"/>
        <family val="2"/>
      </rPr>
      <t xml:space="preserve">）是否启用、上次执行时间。</t>
    </r>
  </si>
  <si>
    <t xml:space="preserve">R-16</t>
  </si>
  <si>
    <r>
      <rPr>
        <sz val="10"/>
        <color rgb="FF000000"/>
        <rFont val="Noto Sans CJK SC"/>
        <family val="2"/>
      </rPr>
      <t xml:space="preserve">记下两个 </t>
    </r>
    <r>
      <rPr>
        <sz val="10"/>
        <color rgb="FF000000"/>
        <rFont val="Microsoft YaHei"/>
        <family val="0"/>
        <charset val="1"/>
      </rPr>
      <t xml:space="preserve">Schedule </t>
    </r>
    <r>
      <rPr>
        <sz val="10"/>
        <color rgb="FF000000"/>
        <rFont val="Noto Sans CJK SC"/>
        <family val="2"/>
      </rPr>
      <t xml:space="preserve">的状态</t>
    </r>
  </si>
  <si>
    <t xml:space="preserve">F33-1</t>
  </si>
  <si>
    <t xml:space="preserve">L-16</t>
  </si>
  <si>
    <t xml:space="preserve">傍晚｜整理自查</t>
  </si>
  <si>
    <r>
      <rPr>
        <b val="true"/>
        <sz val="10"/>
        <color rgb="FF000000"/>
        <rFont val="Noto Sans CJK SC"/>
        <family val="2"/>
      </rPr>
      <t xml:space="preserve">用自己的话写 </t>
    </r>
    <r>
      <rPr>
        <b val="true"/>
        <sz val="10"/>
        <color rgb="FF000000"/>
        <rFont val="Microsoft YaHei"/>
        <family val="0"/>
        <charset val="1"/>
      </rPr>
      <t xml:space="preserve">1 </t>
    </r>
    <r>
      <rPr>
        <b val="true"/>
        <sz val="10"/>
        <color rgb="FF000000"/>
        <rFont val="Noto Sans CJK SC"/>
        <family val="2"/>
      </rPr>
      <t xml:space="preserve">页说明</t>
    </r>
  </si>
  <si>
    <r>
      <rPr>
        <sz val="10"/>
        <color rgb="FF000000"/>
        <rFont val="Noto Sans CJK SC"/>
        <family val="2"/>
      </rPr>
      <t xml:space="preserve">能不能在 </t>
    </r>
    <r>
      <rPr>
        <sz val="10"/>
        <color rgb="FF000000"/>
        <rFont val="Microsoft YaHei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分钟内向 </t>
    </r>
    <r>
      <rPr>
        <sz val="10"/>
        <color rgb="FF000000"/>
        <rFont val="Microsoft YaHei"/>
        <family val="0"/>
        <charset val="1"/>
      </rPr>
      <t xml:space="preserve">leader </t>
    </r>
    <r>
      <rPr>
        <sz val="10"/>
        <color rgb="FF000000"/>
        <rFont val="Noto Sans CJK SC"/>
        <family val="2"/>
      </rPr>
      <t xml:space="preserve">讲清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是怎么工作的、会在哪里失败？</t>
    </r>
  </si>
  <si>
    <r>
      <rPr>
        <sz val="10"/>
        <color rgb="FF000000"/>
        <rFont val="Noto Sans CJK SC"/>
        <family val="2"/>
      </rPr>
      <t xml:space="preserve">把上午的流程图和下午的实际结果合成 </t>
    </r>
    <r>
      <rPr>
        <sz val="10"/>
        <color rgb="FF000000"/>
        <rFont val="Microsoft YaHei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页：入口 → 主机识别 → </t>
    </r>
    <r>
      <rPr>
        <sz val="10"/>
        <color rgb="FF000000"/>
        <rFont val="Microsoft YaHei"/>
        <family val="0"/>
        <charset val="1"/>
      </rPr>
      <t xml:space="preserve">identification → connection → </t>
    </r>
    <r>
      <rPr>
        <sz val="10"/>
        <color rgb="FF000000"/>
        <rFont val="Noto Sans CJK SC"/>
        <family val="2"/>
      </rPr>
      <t xml:space="preserve">下游 → 地图 → 重新发现与重算，每步标出“在哪里看”和“可能失败的原因”。</t>
    </r>
  </si>
  <si>
    <r>
      <rPr>
        <sz val="10"/>
        <color rgb="FF000000"/>
        <rFont val="Microsoft YaHei"/>
        <family val="0"/>
        <charset val="1"/>
      </rPr>
      <t xml:space="preserve">R-03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R-17</t>
    </r>
  </si>
  <si>
    <r>
      <rPr>
        <sz val="10"/>
        <color rgb="FF000000"/>
        <rFont val="Microsoft YaHei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页说明（手写或 </t>
    </r>
    <r>
      <rPr>
        <sz val="10"/>
        <color rgb="FF000000"/>
        <rFont val="Microsoft YaHei"/>
        <family val="0"/>
        <charset val="1"/>
      </rPr>
      <t xml:space="preserve">Word </t>
    </r>
    <r>
      <rPr>
        <sz val="10"/>
        <color rgb="FF000000"/>
        <rFont val="Noto Sans CJK SC"/>
        <family val="2"/>
      </rPr>
      <t xml:space="preserve">均可）</t>
    </r>
  </si>
  <si>
    <t xml:space="preserve">—</t>
  </si>
  <si>
    <t xml:space="preserve">L-17</t>
  </si>
  <si>
    <t xml:space="preserve">对照用例检查遗漏</t>
  </si>
  <si>
    <r>
      <rPr>
        <sz val="10"/>
        <color rgb="FF000000"/>
        <rFont val="Noto Sans CJK SC"/>
        <family val="2"/>
      </rPr>
      <t xml:space="preserve">现有的 </t>
    </r>
    <r>
      <rPr>
        <sz val="10"/>
        <color rgb="FF000000"/>
        <rFont val="Microsoft YaHei"/>
        <family val="0"/>
        <charset val="1"/>
      </rPr>
      <t xml:space="preserve">F30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F35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NF47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有没有漏掉某个流程步骤的失败场景？</t>
    </r>
  </si>
  <si>
    <r>
      <rPr>
        <sz val="10"/>
        <color rgb="FF000000"/>
        <rFont val="Noto Sans CJK SC"/>
        <family val="2"/>
      </rPr>
      <t xml:space="preserve">打开本表第 </t>
    </r>
    <r>
      <rPr>
        <sz val="10"/>
        <color rgb="FF000000"/>
        <rFont val="Microsoft YaHei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页「流程</t>
    </r>
    <r>
      <rPr>
        <sz val="10"/>
        <color rgb="FF000000"/>
        <rFont val="Microsoft YaHei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测试观点」，逐行看“可能出错的地方”，对照已有用例，在黄色列填写判断和补充想法。</t>
    </r>
  </si>
  <si>
    <r>
      <rPr>
        <sz val="10"/>
        <color rgb="FF000000"/>
        <rFont val="Noto Sans CJK SC"/>
        <family val="2"/>
      </rPr>
      <t xml:space="preserve">本表第 </t>
    </r>
    <r>
      <rPr>
        <sz val="10"/>
        <color rgb="FF000000"/>
        <rFont val="Microsoft YaHei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页</t>
    </r>
  </si>
  <si>
    <t xml:space="preserve">列出需要补充或修改的用例</t>
  </si>
  <si>
    <r>
      <rPr>
        <sz val="10"/>
        <color rgb="FF000000"/>
        <rFont val="Microsoft YaHei"/>
        <family val="0"/>
        <charset val="1"/>
      </rPr>
      <t xml:space="preserve">F30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F35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NF47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61</t>
    </r>
  </si>
  <si>
    <t xml:space="preserve">L-18</t>
  </si>
  <si>
    <r>
      <rPr>
        <sz val="10"/>
        <color rgb="FF7F7F7F"/>
        <rFont val="Microsoft YaHei"/>
        <family val="0"/>
        <charset val="1"/>
      </rPr>
      <t xml:space="preserve">1 </t>
    </r>
    <r>
      <rPr>
        <sz val="10"/>
        <color rgb="FF7F7F7F"/>
        <rFont val="Noto Sans CJK SC"/>
        <family val="2"/>
      </rPr>
      <t xml:space="preserve">天之后</t>
    </r>
  </si>
  <si>
    <t xml:space="preserve">后续</t>
  </si>
  <si>
    <r>
      <rPr>
        <b val="true"/>
        <sz val="10"/>
        <color rgb="FF7F7F7F"/>
        <rFont val="Noto Sans CJK SC"/>
        <family val="2"/>
      </rPr>
      <t xml:space="preserve">让 </t>
    </r>
    <r>
      <rPr>
        <b val="true"/>
        <sz val="10"/>
        <color rgb="FF7F7F7F"/>
        <rFont val="Microsoft YaHei"/>
        <family val="0"/>
        <charset val="1"/>
      </rPr>
      <t xml:space="preserve">Tomcat </t>
    </r>
    <r>
      <rPr>
        <b val="true"/>
        <sz val="10"/>
        <color rgb="FF7F7F7F"/>
        <rFont val="Noto Sans CJK SC"/>
        <family val="2"/>
      </rPr>
      <t xml:space="preserve">连接下游 </t>
    </r>
    <r>
      <rPr>
        <b val="true"/>
        <sz val="10"/>
        <color rgb="FF7F7F7F"/>
        <rFont val="Microsoft YaHei"/>
        <family val="0"/>
        <charset val="1"/>
      </rPr>
      <t xml:space="preserve">DB</t>
    </r>
    <r>
      <rPr>
        <b val="true"/>
        <sz val="10"/>
        <color rgb="FF7F7F7F"/>
        <rFont val="Noto Sans CJK SC"/>
        <family val="2"/>
      </rPr>
      <t xml:space="preserve">，观察 </t>
    </r>
    <r>
      <rPr>
        <b val="true"/>
        <sz val="10"/>
        <color rgb="FF7F7F7F"/>
        <rFont val="Microsoft YaHei"/>
        <family val="0"/>
        <charset val="1"/>
      </rPr>
      <t xml:space="preserve">connection section</t>
    </r>
  </si>
  <si>
    <r>
      <rPr>
        <sz val="10"/>
        <color rgb="FF7F7F7F"/>
        <rFont val="Microsoft YaHei"/>
        <family val="0"/>
        <charset val="1"/>
      </rPr>
      <t xml:space="preserve">Tomcat </t>
    </r>
    <r>
      <rPr>
        <sz val="10"/>
        <color rgb="FF7F7F7F"/>
        <rFont val="Noto Sans CJK SC"/>
        <family val="2"/>
      </rPr>
      <t xml:space="preserve">有下游连接时，</t>
    </r>
    <r>
      <rPr>
        <sz val="10"/>
        <color rgb="FF7F7F7F"/>
        <rFont val="Microsoft YaHei"/>
        <family val="0"/>
        <charset val="1"/>
      </rPr>
      <t xml:space="preserve">Top-down </t>
    </r>
    <r>
      <rPr>
        <sz val="10"/>
        <color rgb="FF7F7F7F"/>
        <rFont val="Noto Sans CJK SC"/>
        <family val="2"/>
      </rPr>
      <t xml:space="preserve">能否把 </t>
    </r>
    <r>
      <rPr>
        <sz val="10"/>
        <color rgb="FF7F7F7F"/>
        <rFont val="Microsoft YaHei"/>
        <family val="0"/>
        <charset val="1"/>
      </rPr>
      <t xml:space="preserve">DB </t>
    </r>
    <r>
      <rPr>
        <sz val="10"/>
        <color rgb="FF7F7F7F"/>
        <rFont val="Noto Sans CJK SC"/>
        <family val="2"/>
      </rPr>
      <t xml:space="preserve">一层也画出来？</t>
    </r>
  </si>
  <si>
    <r>
      <rPr>
        <sz val="10"/>
        <color rgb="FF7F7F7F"/>
        <rFont val="Noto Sans CJK SC"/>
        <family val="2"/>
      </rPr>
      <t xml:space="preserve">在另一台空 </t>
    </r>
    <r>
      <rPr>
        <sz val="10"/>
        <color rgb="FF7F7F7F"/>
        <rFont val="Microsoft YaHei"/>
        <family val="0"/>
        <charset val="1"/>
      </rPr>
      <t xml:space="preserve">VM </t>
    </r>
    <r>
      <rPr>
        <sz val="10"/>
        <color rgb="FF7F7F7F"/>
        <rFont val="Noto Sans CJK SC"/>
        <family val="2"/>
      </rPr>
      <t xml:space="preserve">装数据库（如 </t>
    </r>
    <r>
      <rPr>
        <sz val="10"/>
        <color rgb="FF7F7F7F"/>
        <rFont val="Microsoft YaHei"/>
        <family val="0"/>
        <charset val="1"/>
      </rPr>
      <t xml:space="preserve">MySQL</t>
    </r>
    <r>
      <rPr>
        <sz val="10"/>
        <color rgb="FF7F7F7F"/>
        <rFont val="Noto Sans CJK SC"/>
        <family val="2"/>
      </rPr>
      <t xml:space="preserve">），在 </t>
    </r>
    <r>
      <rPr>
        <sz val="10"/>
        <color rgb="FF7F7F7F"/>
        <rFont val="Microsoft YaHei"/>
        <family val="0"/>
        <charset val="1"/>
      </rPr>
      <t xml:space="preserve">Tomcat </t>
    </r>
    <r>
      <rPr>
        <sz val="10"/>
        <color rgb="FF7F7F7F"/>
        <rFont val="Noto Sans CJK SC"/>
        <family val="2"/>
      </rPr>
      <t xml:space="preserve">部署一个连接该数据库的示例应用，再执行发现。能识别哪些连接以 </t>
    </r>
    <r>
      <rPr>
        <sz val="10"/>
        <color rgb="FF7F7F7F"/>
        <rFont val="Microsoft YaHei"/>
        <family val="0"/>
        <charset val="1"/>
      </rPr>
      <t xml:space="preserve">Tomcat Pattern </t>
    </r>
    <r>
      <rPr>
        <sz val="10"/>
        <color rgb="FF7F7F7F"/>
        <rFont val="Noto Sans CJK SC"/>
        <family val="2"/>
      </rPr>
      <t xml:space="preserve">的 </t>
    </r>
    <r>
      <rPr>
        <sz val="10"/>
        <color rgb="FF7F7F7F"/>
        <rFont val="Microsoft YaHei"/>
        <family val="0"/>
        <charset val="1"/>
      </rPr>
      <t xml:space="preserve">connection section </t>
    </r>
    <r>
      <rPr>
        <sz val="10"/>
        <color rgb="FF7F7F7F"/>
        <rFont val="Noto Sans CJK SC"/>
        <family val="2"/>
      </rPr>
      <t xml:space="preserve">为准。</t>
    </r>
  </si>
  <si>
    <r>
      <rPr>
        <sz val="10"/>
        <color rgb="FF7F7F7F"/>
        <rFont val="Microsoft YaHei"/>
        <family val="0"/>
        <charset val="1"/>
      </rPr>
      <t xml:space="preserve">R-03</t>
    </r>
    <r>
      <rPr>
        <sz val="10"/>
        <color rgb="FF7F7F7F"/>
        <rFont val="Noto Sans CJK SC"/>
        <family val="2"/>
      </rPr>
      <t xml:space="preserve">、</t>
    </r>
    <r>
      <rPr>
        <sz val="10"/>
        <color rgb="FF7F7F7F"/>
        <rFont val="Microsoft YaHei"/>
        <family val="0"/>
        <charset val="1"/>
      </rPr>
      <t xml:space="preserve">R-08</t>
    </r>
  </si>
  <si>
    <r>
      <rPr>
        <sz val="10"/>
        <color rgb="FF7F7F7F"/>
        <rFont val="Noto Sans CJK SC"/>
        <family val="2"/>
      </rPr>
      <t xml:space="preserve">地图上出现 </t>
    </r>
    <r>
      <rPr>
        <sz val="10"/>
        <color rgb="FF7F7F7F"/>
        <rFont val="Microsoft YaHei"/>
        <family val="0"/>
        <charset val="1"/>
      </rPr>
      <t xml:space="preserve">Tomcat → DB </t>
    </r>
    <r>
      <rPr>
        <sz val="10"/>
        <color rgb="FF7F7F7F"/>
        <rFont val="Noto Sans CJK SC"/>
        <family val="2"/>
      </rPr>
      <t xml:space="preserve">的连线</t>
    </r>
  </si>
  <si>
    <t xml:space="preserve">F31-2</t>
  </si>
  <si>
    <t xml:space="preserve">L-19</t>
  </si>
  <si>
    <r>
      <rPr>
        <b val="true"/>
        <sz val="10"/>
        <color rgb="FF7F7F7F"/>
        <rFont val="Microsoft YaHei"/>
        <family val="0"/>
        <charset val="1"/>
      </rPr>
      <t xml:space="preserve">Review</t>
    </r>
    <r>
      <rPr>
        <b val="true"/>
        <sz val="10"/>
        <color rgb="FF7F7F7F"/>
        <rFont val="Noto Sans CJK SC"/>
        <family val="2"/>
      </rPr>
      <t xml:space="preserve">／</t>
    </r>
    <r>
      <rPr>
        <b val="true"/>
        <sz val="10"/>
        <color rgb="FF7F7F7F"/>
        <rFont val="Microsoft YaHei"/>
        <family val="0"/>
        <charset val="1"/>
      </rPr>
      <t xml:space="preserve">Approval </t>
    </r>
    <r>
      <rPr>
        <b val="true"/>
        <sz val="10"/>
        <color rgb="FF7F7F7F"/>
        <rFont val="Noto Sans CJK SC"/>
        <family val="2"/>
      </rPr>
      <t xml:space="preserve">流程</t>
    </r>
  </si>
  <si>
    <t xml:space="preserve">服务地图由谁、以什么流程审核和批准？</t>
  </si>
  <si>
    <r>
      <rPr>
        <sz val="10"/>
        <color rgb="FF7F7F7F"/>
        <rFont val="Noto Sans CJK SC"/>
        <family val="2"/>
      </rPr>
      <t xml:space="preserve">读 </t>
    </r>
    <r>
      <rPr>
        <sz val="10"/>
        <color rgb="FF7F7F7F"/>
        <rFont val="Microsoft YaHei"/>
        <family val="0"/>
        <charset val="1"/>
      </rPr>
      <t xml:space="preserve">R-19</t>
    </r>
    <r>
      <rPr>
        <sz val="10"/>
        <color rgb="FF7F7F7F"/>
        <rFont val="Noto Sans CJK SC"/>
        <family val="2"/>
      </rPr>
      <t xml:space="preserve">；在测试服务上试一次 </t>
    </r>
    <r>
      <rPr>
        <sz val="10"/>
        <color rgb="FF7F7F7F"/>
        <rFont val="Microsoft YaHei"/>
        <family val="0"/>
        <charset val="1"/>
      </rPr>
      <t xml:space="preserve">Send for review</t>
    </r>
    <r>
      <rPr>
        <sz val="10"/>
        <color rgb="FF7F7F7F"/>
        <rFont val="Noto Sans CJK SC"/>
        <family val="2"/>
      </rPr>
      <t xml:space="preserve">。</t>
    </r>
  </si>
  <si>
    <t xml:space="preserve">R-19</t>
  </si>
  <si>
    <t xml:space="preserve">了解流程，判断是否需要补充用例（现有用例未覆盖）</t>
  </si>
  <si>
    <t xml:space="preserve">未覆盖</t>
  </si>
  <si>
    <t xml:space="preserve">L-20</t>
  </si>
  <si>
    <r>
      <rPr>
        <b val="true"/>
        <sz val="10"/>
        <color rgb="FF7F7F7F"/>
        <rFont val="Microsoft YaHei"/>
        <family val="0"/>
        <charset val="1"/>
      </rPr>
      <t xml:space="preserve">Traffic-based </t>
    </r>
    <r>
      <rPr>
        <b val="true"/>
        <sz val="10"/>
        <color rgb="FF7F7F7F"/>
        <rFont val="Noto Sans CJK SC"/>
        <family val="2"/>
      </rPr>
      <t xml:space="preserve">与服务拆分</t>
    </r>
  </si>
  <si>
    <r>
      <rPr>
        <sz val="10"/>
        <color rgb="FF7F7F7F"/>
        <rFont val="Microsoft YaHei"/>
        <family val="0"/>
        <charset val="1"/>
      </rPr>
      <t xml:space="preserve">Traffic-based </t>
    </r>
    <r>
      <rPr>
        <sz val="10"/>
        <color rgb="FF7F7F7F"/>
        <rFont val="Noto Sans CJK SC"/>
        <family val="2"/>
      </rPr>
      <t xml:space="preserve">什么时候用？服务过大时怎么拆？</t>
    </r>
  </si>
  <si>
    <r>
      <rPr>
        <sz val="10"/>
        <color rgb="FF7F7F7F"/>
        <rFont val="Noto Sans CJK SC"/>
        <family val="2"/>
      </rPr>
      <t xml:space="preserve">读 </t>
    </r>
    <r>
      <rPr>
        <sz val="10"/>
        <color rgb="FF7F7F7F"/>
        <rFont val="Microsoft YaHei"/>
        <family val="0"/>
        <charset val="1"/>
      </rPr>
      <t xml:space="preserve">R-20</t>
    </r>
    <r>
      <rPr>
        <sz val="10"/>
        <color rgb="FF7F7F7F"/>
        <rFont val="Noto Sans CJK SC"/>
        <family val="2"/>
      </rPr>
      <t xml:space="preserve">、</t>
    </r>
    <r>
      <rPr>
        <sz val="10"/>
        <color rgb="FF7F7F7F"/>
        <rFont val="Microsoft YaHei"/>
        <family val="0"/>
        <charset val="1"/>
      </rPr>
      <t xml:space="preserve">R-21</t>
    </r>
    <r>
      <rPr>
        <sz val="10"/>
        <color rgb="FF7F7F7F"/>
        <rFont val="Noto Sans CJK SC"/>
        <family val="2"/>
      </rPr>
      <t xml:space="preserve">。</t>
    </r>
  </si>
  <si>
    <r>
      <rPr>
        <sz val="10"/>
        <color rgb="FF7F7F7F"/>
        <rFont val="Microsoft YaHei"/>
        <family val="0"/>
        <charset val="1"/>
      </rPr>
      <t xml:space="preserve">R-20</t>
    </r>
    <r>
      <rPr>
        <sz val="10"/>
        <color rgb="FF7F7F7F"/>
        <rFont val="Noto Sans CJK SC"/>
        <family val="2"/>
      </rPr>
      <t xml:space="preserve">、</t>
    </r>
    <r>
      <rPr>
        <sz val="10"/>
        <color rgb="FF7F7F7F"/>
        <rFont val="Microsoft YaHei"/>
        <family val="0"/>
        <charset val="1"/>
      </rPr>
      <t xml:space="preserve">R-21</t>
    </r>
  </si>
  <si>
    <t xml:space="preserve">能说明适用场景</t>
  </si>
  <si>
    <t xml:space="preserve">NF54</t>
  </si>
  <si>
    <t xml:space="preserve">L-21</t>
  </si>
  <si>
    <r>
      <rPr>
        <b val="true"/>
        <sz val="10"/>
        <color rgb="FF7F7F7F"/>
        <rFont val="Noto Sans CJK SC"/>
        <family val="2"/>
      </rPr>
      <t xml:space="preserve">官方课程 </t>
    </r>
    <r>
      <rPr>
        <b val="true"/>
        <sz val="10"/>
        <color rgb="FF7F7F7F"/>
        <rFont val="Microsoft YaHei"/>
        <family val="0"/>
        <charset val="1"/>
      </rPr>
      <t xml:space="preserve">Service Mapping Fundamentals</t>
    </r>
  </si>
  <si>
    <r>
      <rPr>
        <sz val="10"/>
        <color rgb="FF7F7F7F"/>
        <rFont val="Noto Sans CJK SC"/>
        <family val="2"/>
      </rPr>
      <t xml:space="preserve">系统性补齐 </t>
    </r>
    <r>
      <rPr>
        <sz val="10"/>
        <color rgb="FF7F7F7F"/>
        <rFont val="Microsoft YaHei"/>
        <family val="0"/>
        <charset val="1"/>
      </rPr>
      <t xml:space="preserve">Service Mapping </t>
    </r>
    <r>
      <rPr>
        <sz val="10"/>
        <color rgb="FF7F7F7F"/>
        <rFont val="Noto Sans CJK SC"/>
        <family val="2"/>
      </rPr>
      <t xml:space="preserve">的知识（含 </t>
    </r>
    <r>
      <rPr>
        <sz val="10"/>
        <color rgb="FF7F7F7F"/>
        <rFont val="Microsoft YaHei"/>
        <family val="0"/>
        <charset val="1"/>
      </rPr>
      <t xml:space="preserve">Pattern </t>
    </r>
    <r>
      <rPr>
        <sz val="10"/>
        <color rgb="FF7F7F7F"/>
        <rFont val="Noto Sans CJK SC"/>
        <family val="2"/>
      </rPr>
      <t xml:space="preserve">与实验）。</t>
    </r>
  </si>
  <si>
    <r>
      <rPr>
        <sz val="10"/>
        <color rgb="FF7F7F7F"/>
        <rFont val="Microsoft YaHei"/>
        <family val="0"/>
        <charset val="1"/>
      </rPr>
      <t xml:space="preserve">ServiceNow University </t>
    </r>
    <r>
      <rPr>
        <sz val="10"/>
        <color rgb="FF7F7F7F"/>
        <rFont val="Noto Sans CJK SC"/>
        <family val="2"/>
      </rPr>
      <t xml:space="preserve">按需课程，约 </t>
    </r>
    <r>
      <rPr>
        <sz val="10"/>
        <color rgb="FF7F7F7F"/>
        <rFont val="Microsoft YaHei"/>
        <family val="0"/>
        <charset val="1"/>
      </rPr>
      <t xml:space="preserve">9 </t>
    </r>
    <r>
      <rPr>
        <sz val="10"/>
        <color rgb="FF7F7F7F"/>
        <rFont val="Noto Sans CJK SC"/>
        <family val="2"/>
      </rPr>
      <t xml:space="preserve">小时，含实验。可只先学 </t>
    </r>
    <r>
      <rPr>
        <sz val="10"/>
        <color rgb="FF7F7F7F"/>
        <rFont val="Microsoft YaHei"/>
        <family val="0"/>
        <charset val="1"/>
      </rPr>
      <t xml:space="preserve">Top-down </t>
    </r>
    <r>
      <rPr>
        <sz val="10"/>
        <color rgb="FF7F7F7F"/>
        <rFont val="Noto Sans CJK SC"/>
        <family val="2"/>
      </rPr>
      <t xml:space="preserve">和 </t>
    </r>
    <r>
      <rPr>
        <sz val="10"/>
        <color rgb="FF7F7F7F"/>
        <rFont val="Microsoft YaHei"/>
        <family val="0"/>
        <charset val="1"/>
      </rPr>
      <t xml:space="preserve">Pattern </t>
    </r>
    <r>
      <rPr>
        <sz val="10"/>
        <color rgb="FF7F7F7F"/>
        <rFont val="Noto Sans CJK SC"/>
        <family val="2"/>
      </rPr>
      <t xml:space="preserve">相关章节。</t>
    </r>
  </si>
  <si>
    <t xml:space="preserve">R-24</t>
  </si>
  <si>
    <t xml:space="preserve">完成课程或相关章节</t>
  </si>
  <si>
    <t xml:space="preserve">L-22</t>
  </si>
  <si>
    <r>
      <rPr>
        <b val="true"/>
        <sz val="10"/>
        <color rgb="FF7F7F7F"/>
        <rFont val="Noto Sans CJK SC"/>
        <family val="2"/>
      </rPr>
      <t xml:space="preserve">社区 </t>
    </r>
    <r>
      <rPr>
        <b val="true"/>
        <sz val="10"/>
        <color rgb="FF7F7F7F"/>
        <rFont val="Microsoft YaHei"/>
        <family val="0"/>
        <charset val="1"/>
      </rPr>
      <t xml:space="preserve">Quick Start Guide </t>
    </r>
    <r>
      <rPr>
        <b val="true"/>
        <sz val="10"/>
        <color rgb="FF7F7F7F"/>
        <rFont val="Noto Sans CJK SC"/>
        <family val="2"/>
      </rPr>
      <t xml:space="preserve">的 </t>
    </r>
    <r>
      <rPr>
        <b val="true"/>
        <sz val="10"/>
        <color rgb="FF7F7F7F"/>
        <rFont val="Microsoft YaHei"/>
        <family val="0"/>
        <charset val="1"/>
      </rPr>
      <t xml:space="preserve">Top-down </t>
    </r>
    <r>
      <rPr>
        <b val="true"/>
        <sz val="10"/>
        <color rgb="FF7F7F7F"/>
        <rFont val="Noto Sans CJK SC"/>
        <family val="2"/>
      </rPr>
      <t xml:space="preserve">部分</t>
    </r>
  </si>
  <si>
    <r>
      <rPr>
        <sz val="10"/>
        <color rgb="FF7F7F7F"/>
        <rFont val="Noto Sans CJK SC"/>
        <family val="2"/>
      </rPr>
      <t xml:space="preserve">官方社区推荐的导入顺序是什么？什么时候才用 </t>
    </r>
    <r>
      <rPr>
        <sz val="10"/>
        <color rgb="FF7F7F7F"/>
        <rFont val="Microsoft YaHei"/>
        <family val="0"/>
        <charset val="1"/>
      </rPr>
      <t xml:space="preserve">Top-down</t>
    </r>
    <r>
      <rPr>
        <sz val="10"/>
        <color rgb="FF7F7F7F"/>
        <rFont val="Noto Sans CJK SC"/>
        <family val="2"/>
      </rPr>
      <t xml:space="preserve">？</t>
    </r>
  </si>
  <si>
    <r>
      <rPr>
        <sz val="10"/>
        <color rgb="FF7F7F7F"/>
        <rFont val="Noto Sans CJK SC"/>
        <family val="2"/>
      </rPr>
      <t xml:space="preserve">读 </t>
    </r>
    <r>
      <rPr>
        <sz val="10"/>
        <color rgb="FF7F7F7F"/>
        <rFont val="Microsoft YaHei"/>
        <family val="0"/>
        <charset val="1"/>
      </rPr>
      <t xml:space="preserve">R-23 </t>
    </r>
    <r>
      <rPr>
        <sz val="10"/>
        <color rgb="FF7F7F7F"/>
        <rFont val="Noto Sans CJK SC"/>
        <family val="2"/>
      </rPr>
      <t xml:space="preserve">中 </t>
    </r>
    <r>
      <rPr>
        <sz val="10"/>
        <color rgb="FF7F7F7F"/>
        <rFont val="Microsoft YaHei"/>
        <family val="0"/>
        <charset val="1"/>
      </rPr>
      <t xml:space="preserve">Top-down </t>
    </r>
    <r>
      <rPr>
        <sz val="10"/>
        <color rgb="FF7F7F7F"/>
        <rFont val="Noto Sans CJK SC"/>
        <family val="2"/>
      </rPr>
      <t xml:space="preserve">相关段落（社区文章，非产品文档）。</t>
    </r>
  </si>
  <si>
    <t xml:space="preserve">R-23</t>
  </si>
  <si>
    <r>
      <rPr>
        <sz val="10"/>
        <color rgb="FF7F7F7F"/>
        <rFont val="Noto Sans CJK SC"/>
        <family val="2"/>
      </rPr>
      <t xml:space="preserve">能说明为什么先用 </t>
    </r>
    <r>
      <rPr>
        <sz val="10"/>
        <color rgb="FF7F7F7F"/>
        <rFont val="Microsoft YaHei"/>
        <family val="0"/>
        <charset val="1"/>
      </rPr>
      <t xml:space="preserve">Tag</t>
    </r>
    <r>
      <rPr>
        <sz val="10"/>
        <color rgb="FF7F7F7F"/>
        <rFont val="Noto Sans CJK SC"/>
        <family val="2"/>
      </rPr>
      <t xml:space="preserve">／</t>
    </r>
    <r>
      <rPr>
        <sz val="10"/>
        <color rgb="FF7F7F7F"/>
        <rFont val="Microsoft YaHei"/>
        <family val="0"/>
        <charset val="1"/>
      </rPr>
      <t xml:space="preserve">ML</t>
    </r>
    <r>
      <rPr>
        <sz val="10"/>
        <color rgb="FF7F7F7F"/>
        <rFont val="Noto Sans CJK SC"/>
        <family val="2"/>
      </rPr>
      <t xml:space="preserve">，再对需要的应用用 </t>
    </r>
    <r>
      <rPr>
        <sz val="10"/>
        <color rgb="FF7F7F7F"/>
        <rFont val="Microsoft YaHei"/>
        <family val="0"/>
        <charset val="1"/>
      </rPr>
      <t xml:space="preserve">Top-down</t>
    </r>
  </si>
  <si>
    <r>
      <rPr>
        <b val="true"/>
        <sz val="14"/>
        <color rgb="FF000000"/>
        <rFont val="Microsoft YaHei"/>
        <family val="0"/>
        <charset val="1"/>
      </rPr>
      <t xml:space="preserve">Top-down </t>
    </r>
    <r>
      <rPr>
        <b val="true"/>
        <sz val="14"/>
        <color rgb="FF000000"/>
        <rFont val="Noto Sans CJK SC"/>
        <family val="2"/>
      </rPr>
      <t xml:space="preserve">流程 </t>
    </r>
    <r>
      <rPr>
        <b val="true"/>
        <sz val="14"/>
        <color rgb="FF000000"/>
        <rFont val="Microsoft YaHei"/>
        <family val="0"/>
        <charset val="1"/>
      </rPr>
      <t xml:space="preserve">× </t>
    </r>
    <r>
      <rPr>
        <b val="true"/>
        <sz val="14"/>
        <color rgb="FF000000"/>
        <rFont val="Noto Sans CJK SC"/>
        <family val="2"/>
      </rPr>
      <t xml:space="preserve">测试观点（</t>
    </r>
    <r>
      <rPr>
        <b val="true"/>
        <sz val="14"/>
        <color rgb="FF000000"/>
        <rFont val="Microsoft YaHei"/>
        <family val="0"/>
        <charset val="1"/>
      </rPr>
      <t xml:space="preserve">L-17 </t>
    </r>
    <r>
      <rPr>
        <b val="true"/>
        <sz val="14"/>
        <color rgb="FF000000"/>
        <rFont val="Noto Sans CJK SC"/>
        <family val="2"/>
      </rPr>
      <t xml:space="preserve">自查用）</t>
    </r>
  </si>
  <si>
    <t xml:space="preserve">按发现流程逐步列出“可能出错的地方”，它们就是测试观点。学完后对照“已有用例”，在黄色两列填写判断：已覆盖／需补充／需修改／不适用。标“无”或“尚无用例”的行是现有用例没有覆盖、需要你判断的地方。</t>
  </si>
  <si>
    <t xml:space="preserve">步骤</t>
  </si>
  <si>
    <t xml:space="preserve">流程步骤</t>
  </si>
  <si>
    <t xml:space="preserve">系统在做什么</t>
  </si>
  <si>
    <t xml:space="preserve">在哪里确认</t>
  </si>
  <si>
    <t xml:space="preserve">可能出错的地方（＝测试观点）</t>
  </si>
  <si>
    <t xml:space="preserve">已有用例</t>
  </si>
  <si>
    <t xml:space="preserve">对应学习项</t>
  </si>
  <si>
    <t xml:space="preserve">我的判断</t>
  </si>
  <si>
    <t xml:space="preserve">补充用例的想法</t>
  </si>
  <si>
    <t xml:space="preserve">S-01</t>
  </si>
  <si>
    <t xml:space="preserve">前提准备</t>
  </si>
  <si>
    <r>
      <rPr>
        <sz val="10"/>
        <color rgb="FF000000"/>
        <rFont val="Microsoft YaHei"/>
        <family val="0"/>
        <charset val="1"/>
      </rPr>
      <t xml:space="preserve">Readiness Checklist </t>
    </r>
    <r>
      <rPr>
        <sz val="10"/>
        <color rgb="FF000000"/>
        <rFont val="Noto Sans CJK SC"/>
        <family val="2"/>
      </rPr>
      <t xml:space="preserve">检查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IP </t>
    </r>
    <r>
      <rPr>
        <sz val="10"/>
        <color rgb="FF000000"/>
        <rFont val="Noto Sans CJK SC"/>
        <family val="2"/>
      </rPr>
      <t xml:space="preserve">范围、</t>
    </r>
    <r>
      <rPr>
        <sz val="10"/>
        <color rgb="FF000000"/>
        <rFont val="Microsoft YaHei"/>
        <family val="0"/>
        <charset val="1"/>
      </rPr>
      <t xml:space="preserve">Application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）和凭据等前提</t>
    </r>
  </si>
  <si>
    <t xml:space="preserve">Service Mapping &gt; Home &gt; Readiness Checklist</t>
  </si>
  <si>
    <t xml:space="preserve">必需项有错误时无法开始映射；凭据缺失时只能部分发现</t>
  </si>
  <si>
    <r>
      <rPr>
        <sz val="10"/>
        <color rgb="FF000000"/>
        <rFont val="Microsoft YaHei"/>
        <family val="0"/>
        <charset val="1"/>
      </rPr>
      <t xml:space="preserve">L-01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L-08</t>
    </r>
  </si>
  <si>
    <t xml:space="preserve">S-02</t>
  </si>
  <si>
    <t xml:space="preserve">定义服务与入口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</si>
  <si>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Microsoft YaHei"/>
        <family val="0"/>
        <charset val="1"/>
      </rPr>
      <t xml:space="preserve">cmdb_ci_service_discovered </t>
    </r>
    <r>
      <rPr>
        <sz val="10"/>
        <color rgb="FF000000"/>
        <rFont val="Noto Sans CJK SC"/>
        <family val="2"/>
      </rPr>
      <t xml:space="preserve">中建服务记录，入口作为 </t>
    </r>
    <r>
      <rPr>
        <sz val="10"/>
        <color rgb="FF000000"/>
        <rFont val="Microsoft YaHei"/>
        <family val="0"/>
        <charset val="1"/>
      </rPr>
      <t xml:space="preserve">Endpoint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cmdb_ci_endpoint_*</t>
    </r>
    <r>
      <rPr>
        <sz val="10"/>
        <color rgb="FF000000"/>
        <rFont val="Noto Sans CJK SC"/>
        <family val="2"/>
      </rPr>
      <t xml:space="preserve">）登记</t>
    </r>
  </si>
  <si>
    <r>
      <rPr>
        <sz val="10"/>
        <color rgb="FF000000"/>
        <rFont val="Noto Sans CJK SC"/>
        <family val="2"/>
      </rPr>
      <t xml:space="preserve">服务记录的 </t>
    </r>
    <r>
      <rPr>
        <sz val="10"/>
        <color rgb="FF000000"/>
        <rFont val="Microsoft YaHei"/>
        <family val="0"/>
        <charset val="1"/>
      </rPr>
      <t xml:space="preserve">Entry Points</t>
    </r>
  </si>
  <si>
    <r>
      <rPr>
        <sz val="10"/>
        <color rgb="FF000000"/>
        <rFont val="Noto Sans CJK SC"/>
        <family val="2"/>
      </rPr>
      <t xml:space="preserve">名称重复；入口类型选错；</t>
    </r>
    <r>
      <rPr>
        <sz val="10"/>
        <color rgb="FF000000"/>
        <rFont val="Microsoft YaHei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未写端口时默认按 </t>
    </r>
    <r>
      <rPr>
        <sz val="10"/>
        <color rgb="FF000000"/>
        <rFont val="Microsoft YaHei"/>
        <family val="0"/>
        <charset val="1"/>
      </rPr>
      <t xml:space="preserve">443</t>
    </r>
    <r>
      <rPr>
        <sz val="10"/>
        <color rgb="FF000000"/>
        <rFont val="Noto Sans CJK SC"/>
        <family val="2"/>
      </rPr>
      <t xml:space="preserve">；用 </t>
    </r>
    <r>
      <rPr>
        <sz val="10"/>
        <color rgb="FF000000"/>
        <rFont val="Microsoft YaHei"/>
        <family val="0"/>
        <charset val="1"/>
      </rPr>
      <t xml:space="preserve">localhost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Microsoft YaHei"/>
        <family val="0"/>
        <charset val="1"/>
      </rPr>
      <t xml:space="preserve">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MQ </t>
    </r>
    <r>
      <rPr>
        <sz val="10"/>
        <color rgb="FF000000"/>
        <rFont val="Noto Sans CJK SC"/>
        <family val="2"/>
      </rPr>
      <t xml:space="preserve">等中心组件做入口</t>
    </r>
  </si>
  <si>
    <r>
      <rPr>
        <sz val="10"/>
        <color rgb="FF000000"/>
        <rFont val="Microsoft YaHei"/>
        <family val="0"/>
        <charset val="1"/>
      </rPr>
      <t xml:space="preserve">F30-2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NF54</t>
    </r>
  </si>
  <si>
    <r>
      <rPr>
        <sz val="10"/>
        <color rgb="FF000000"/>
        <rFont val="Microsoft YaHei"/>
        <family val="0"/>
        <charset val="1"/>
      </rPr>
      <t xml:space="preserve">L-04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L-10</t>
    </r>
  </si>
  <si>
    <t xml:space="preserve">S-03</t>
  </si>
  <si>
    <r>
      <rPr>
        <b val="true"/>
        <sz val="10"/>
        <color rgb="FF000000"/>
        <rFont val="Noto Sans CJK SC"/>
        <family val="2"/>
      </rPr>
      <t xml:space="preserve">选择 </t>
    </r>
    <r>
      <rPr>
        <b val="true"/>
        <sz val="10"/>
        <color rgb="FF000000"/>
        <rFont val="Microsoft YaHei"/>
        <family val="0"/>
        <charset val="1"/>
      </rPr>
      <t xml:space="preserve">MID</t>
    </r>
  </si>
  <si>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Microsoft YaHei"/>
        <family val="0"/>
        <charset val="1"/>
      </rPr>
      <t xml:space="preserve">Application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IP </t>
    </r>
    <r>
      <rPr>
        <sz val="10"/>
        <color rgb="FF000000"/>
        <rFont val="Noto Sans CJK SC"/>
        <family val="2"/>
      </rPr>
      <t xml:space="preserve">范围选择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；无匹配时用默认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；都没有则无法开始</t>
    </r>
  </si>
  <si>
    <r>
      <rPr>
        <sz val="10"/>
        <color rgb="FF000000"/>
        <rFont val="Microsoft YaHei"/>
        <family val="0"/>
        <charset val="1"/>
      </rPr>
      <t xml:space="preserve">Discovery Messages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ECC Queue</t>
    </r>
  </si>
  <si>
    <r>
      <rPr>
        <sz val="10"/>
        <color rgb="FF000000"/>
        <rFont val="Noto Sans CJK SC"/>
        <family val="2"/>
      </rPr>
      <t xml:space="preserve">没有符合条件的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No active MID Server found for IP</t>
    </r>
    <r>
      <rPr>
        <sz val="10"/>
        <color rgb="FF000000"/>
        <rFont val="Noto Sans CJK SC"/>
        <family val="2"/>
      </rPr>
      <t xml:space="preserve">）；选中的 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到不了目标</t>
    </r>
  </si>
  <si>
    <r>
      <rPr>
        <sz val="10"/>
        <color rgb="FF000000"/>
        <rFont val="Microsoft YaHei"/>
        <family val="0"/>
        <charset val="1"/>
      </rPr>
      <t xml:space="preserve">F30-1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NF50</t>
    </r>
  </si>
  <si>
    <r>
      <rPr>
        <sz val="10"/>
        <color rgb="FF000000"/>
        <rFont val="Microsoft YaHei"/>
        <family val="0"/>
        <charset val="1"/>
      </rPr>
      <t xml:space="preserve">L-06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L-11</t>
    </r>
  </si>
  <si>
    <t xml:space="preserve">S-04</t>
  </si>
  <si>
    <t xml:space="preserve">确认入口所在主机</t>
  </si>
  <si>
    <r>
      <rPr>
        <sz val="10"/>
        <color rgb="FF000000"/>
        <rFont val="Noto Sans CJK SC"/>
        <family val="2"/>
      </rPr>
      <t xml:space="preserve">检查主机是否已在 </t>
    </r>
    <r>
      <rPr>
        <sz val="10"/>
        <color rgb="FF000000"/>
        <rFont val="Microsoft YaHei"/>
        <family val="0"/>
        <charset val="1"/>
      </rPr>
      <t xml:space="preserve">CMDB</t>
    </r>
    <r>
      <rPr>
        <sz val="10"/>
        <color rgb="FF000000"/>
        <rFont val="Noto Sans CJK SC"/>
        <family val="2"/>
      </rPr>
      <t xml:space="preserve">，没有则触发横向发现（端口扫描→分类→识别→探索）</t>
    </r>
  </si>
  <si>
    <r>
      <rPr>
        <sz val="10"/>
        <color rgb="FF000000"/>
        <rFont val="Microsoft YaHei"/>
        <family val="0"/>
        <charset val="1"/>
      </rPr>
      <t xml:space="preserve">Discovery Status</t>
    </r>
    <r>
      <rPr>
        <sz val="10"/>
        <color rgb="FF000000"/>
        <rFont val="Noto Sans CJK SC"/>
        <family val="2"/>
      </rPr>
      <t xml:space="preserve">、主机 </t>
    </r>
    <r>
      <rPr>
        <sz val="10"/>
        <color rgb="FF000000"/>
        <rFont val="Microsoft YaHei"/>
        <family val="0"/>
        <charset val="1"/>
      </rPr>
      <t xml:space="preserve">CI</t>
    </r>
  </si>
  <si>
    <r>
      <rPr>
        <sz val="10"/>
        <color rgb="FF000000"/>
        <rFont val="Noto Sans CJK SC"/>
        <family val="2"/>
      </rPr>
      <t xml:space="preserve">横向发现失败；主机与 </t>
    </r>
    <r>
      <rPr>
        <sz val="10"/>
        <color rgb="FF000000"/>
        <rFont val="Microsoft YaHei"/>
        <family val="0"/>
        <charset val="1"/>
      </rPr>
      <t xml:space="preserve">IP Range Discovery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ACC </t>
    </r>
    <r>
      <rPr>
        <sz val="10"/>
        <color rgb="FF000000"/>
        <rFont val="Noto Sans CJK SC"/>
        <family val="2"/>
      </rPr>
      <t xml:space="preserve">已有的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重复</t>
    </r>
  </si>
  <si>
    <r>
      <rPr>
        <sz val="10"/>
        <color rgb="FF000000"/>
        <rFont val="Microsoft YaHei"/>
        <family val="0"/>
        <charset val="1"/>
      </rPr>
      <t xml:space="preserve">F31-1</t>
    </r>
    <r>
      <rPr>
        <sz val="10"/>
        <color rgb="FF000000"/>
        <rFont val="Noto Sans CJK SC"/>
        <family val="2"/>
      </rPr>
      <t xml:space="preserve">（横向部分另见 </t>
    </r>
    <r>
      <rPr>
        <sz val="10"/>
        <color rgb="FF000000"/>
        <rFont val="Microsoft YaHei"/>
        <family val="0"/>
        <charset val="1"/>
      </rPr>
      <t xml:space="preserve">F08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F12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F19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</si>
  <si>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Microsoft YaHei"/>
        <family val="0"/>
        <charset val="1"/>
      </rPr>
      <t xml:space="preserve">L-03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L-09</t>
    </r>
  </si>
  <si>
    <t xml:space="preserve">S-05</t>
  </si>
  <si>
    <t xml:space="preserve">识别入口应用</t>
  </si>
  <si>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执行 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identification section</t>
    </r>
    <r>
      <rPr>
        <sz val="10"/>
        <color rgb="FF000000"/>
        <rFont val="Noto Sans CJK SC"/>
        <family val="2"/>
      </rPr>
      <t xml:space="preserve">，与入口匹配后生成或更新应用 </t>
    </r>
    <r>
      <rPr>
        <sz val="10"/>
        <color rgb="FF000000"/>
        <rFont val="Microsoft YaHei"/>
        <family val="0"/>
        <charset val="1"/>
      </rPr>
      <t xml:space="preserve">CI</t>
    </r>
  </si>
  <si>
    <r>
      <rPr>
        <sz val="10"/>
        <color rgb="FF000000"/>
        <rFont val="Noto Sans CJK SC"/>
        <family val="2"/>
      </rPr>
      <t xml:space="preserve">地图上的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、发现日志</t>
    </r>
  </si>
  <si>
    <r>
      <rPr>
        <sz val="10"/>
        <color rgb="FF000000"/>
        <rFont val="Noto Sans CJK SC"/>
        <family val="2"/>
      </rPr>
      <t xml:space="preserve">没有匹配的 </t>
    </r>
    <r>
      <rPr>
        <sz val="10"/>
        <color rgb="FF000000"/>
        <rFont val="Microsoft YaHei"/>
        <family val="0"/>
        <charset val="1"/>
      </rPr>
      <t xml:space="preserve">Pattern</t>
    </r>
    <r>
      <rPr>
        <sz val="10"/>
        <color rgb="FF000000"/>
        <rFont val="Noto Sans CJK SC"/>
        <family val="2"/>
      </rPr>
      <t xml:space="preserve">；端口上没有服务；</t>
    </r>
    <r>
      <rPr>
        <sz val="10"/>
        <color rgb="FF000000"/>
        <rFont val="Microsoft YaHei"/>
        <family val="0"/>
        <charset val="1"/>
      </rPr>
      <t xml:space="preserve">sudo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Microsoft YaHei"/>
        <family val="0"/>
        <charset val="1"/>
      </rPr>
      <t xml:space="preserve">Access is denied </t>
    </r>
    <r>
      <rPr>
        <sz val="10"/>
        <color rgb="FF000000"/>
        <rFont val="Noto Sans CJK SC"/>
        <family val="2"/>
      </rPr>
      <t xml:space="preserve">等权限不足；非英语 </t>
    </r>
    <r>
      <rPr>
        <sz val="10"/>
        <color rgb="FF000000"/>
        <rFont val="Microsoft YaHei"/>
        <family val="0"/>
        <charset val="1"/>
      </rPr>
      <t xml:space="preserve">OS </t>
    </r>
    <r>
      <rPr>
        <sz val="10"/>
        <color rgb="FF000000"/>
        <rFont val="Noto Sans CJK SC"/>
        <family val="2"/>
      </rPr>
      <t xml:space="preserve">的输出无法解析；命令超时</t>
    </r>
  </si>
  <si>
    <r>
      <rPr>
        <sz val="10"/>
        <color rgb="FF000000"/>
        <rFont val="Microsoft YaHei"/>
        <family val="0"/>
        <charset val="1"/>
      </rPr>
      <t xml:space="preserve">F31-1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F32-1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F32-2</t>
    </r>
  </si>
  <si>
    <r>
      <rPr>
        <sz val="10"/>
        <color rgb="FF000000"/>
        <rFont val="Microsoft YaHei"/>
        <family val="0"/>
        <charset val="1"/>
      </rPr>
      <t xml:space="preserve">L-05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L-14</t>
    </r>
  </si>
  <si>
    <t xml:space="preserve">S-06</t>
  </si>
  <si>
    <t xml:space="preserve">发现出站连接</t>
  </si>
  <si>
    <r>
      <rPr>
        <sz val="10"/>
        <color rgb="FF000000"/>
        <rFont val="Noto Sans CJK SC"/>
        <family val="2"/>
      </rPr>
      <t xml:space="preserve">执行 </t>
    </r>
    <r>
      <rPr>
        <sz val="10"/>
        <color rgb="FF000000"/>
        <rFont val="Microsoft YaHei"/>
        <family val="0"/>
        <charset val="1"/>
      </rPr>
      <t xml:space="preserve">connection section </t>
    </r>
    <r>
      <rPr>
        <sz val="10"/>
        <color rgb="FF000000"/>
        <rFont val="Noto Sans CJK SC"/>
        <family val="2"/>
      </rPr>
      <t xml:space="preserve">找出站连接，并用 </t>
    </r>
    <r>
      <rPr>
        <sz val="10"/>
        <color rgb="FF000000"/>
        <rFont val="Microsoft YaHei"/>
        <family val="0"/>
        <charset val="1"/>
      </rPr>
      <t xml:space="preserve">cmdb_tcp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sa_flow_connection </t>
    </r>
    <r>
      <rPr>
        <sz val="10"/>
        <color rgb="FF000000"/>
        <rFont val="Noto Sans CJK SC"/>
        <family val="2"/>
      </rPr>
      <t xml:space="preserve">中的数据补充</t>
    </r>
  </si>
  <si>
    <t xml:space="preserve">地图上的连线</t>
  </si>
  <si>
    <r>
      <rPr>
        <sz val="10"/>
        <color rgb="FF000000"/>
        <rFont val="Noto Sans CJK SC"/>
        <family val="2"/>
      </rPr>
      <t xml:space="preserve">连接漏发现；连到无关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；共享组件让服务变得过大</t>
    </r>
  </si>
  <si>
    <r>
      <rPr>
        <sz val="10"/>
        <color rgb="FF000000"/>
        <rFont val="Microsoft YaHei"/>
        <family val="0"/>
        <charset val="1"/>
      </rPr>
      <t xml:space="preserve">F31-2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NF54</t>
    </r>
  </si>
  <si>
    <r>
      <rPr>
        <sz val="10"/>
        <color rgb="FF000000"/>
        <rFont val="Microsoft YaHei"/>
        <family val="0"/>
        <charset val="1"/>
      </rPr>
      <t xml:space="preserve">L-05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L-18</t>
    </r>
  </si>
  <si>
    <t xml:space="preserve">S-07</t>
  </si>
  <si>
    <t xml:space="preserve">逐层向下与停止</t>
  </si>
  <si>
    <r>
      <rPr>
        <sz val="10"/>
        <color rgb="FF000000"/>
        <rFont val="Noto Sans CJK SC"/>
        <family val="2"/>
      </rPr>
      <t xml:space="preserve">对每个连接目标重复 </t>
    </r>
    <r>
      <rPr>
        <sz val="10"/>
        <color rgb="FF000000"/>
        <rFont val="Microsoft YaHei"/>
        <family val="0"/>
        <charset val="1"/>
      </rPr>
      <t xml:space="preserve">S-04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S-06</t>
    </r>
    <r>
      <rPr>
        <sz val="10"/>
        <color rgb="FF000000"/>
        <rFont val="Noto Sans CJK SC"/>
        <family val="2"/>
      </rPr>
      <t xml:space="preserve">，直到没有出站连接或遇到 </t>
    </r>
    <r>
      <rPr>
        <sz val="10"/>
        <color rgb="FF000000"/>
        <rFont val="Microsoft YaHei"/>
        <family val="0"/>
        <charset val="1"/>
      </rPr>
      <t xml:space="preserve">Boundary</t>
    </r>
  </si>
  <si>
    <t xml:space="preserve">地图的层数</t>
  </si>
  <si>
    <r>
      <rPr>
        <sz val="10"/>
        <color rgb="FF000000"/>
        <rFont val="Noto Sans CJK SC"/>
        <family val="2"/>
      </rPr>
      <t xml:space="preserve">中间某层失败导致下游缺失；没有设 </t>
    </r>
    <r>
      <rPr>
        <sz val="10"/>
        <color rgb="FF000000"/>
        <rFont val="Microsoft YaHei"/>
        <family val="0"/>
        <charset val="1"/>
      </rPr>
      <t xml:space="preserve">Boundary </t>
    </r>
    <r>
      <rPr>
        <sz val="10"/>
        <color rgb="FF000000"/>
        <rFont val="Noto Sans CJK SC"/>
        <family val="2"/>
      </rPr>
      <t xml:space="preserve">时服务不断扩大</t>
    </r>
  </si>
  <si>
    <r>
      <rPr>
        <sz val="10"/>
        <color rgb="FF000000"/>
        <rFont val="Microsoft YaHei"/>
        <family val="0"/>
        <charset val="1"/>
      </rPr>
      <t xml:space="preserve">F31-2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F32-3</t>
    </r>
  </si>
  <si>
    <t xml:space="preserve">S-08</t>
  </si>
  <si>
    <t xml:space="preserve">应用前面有负载均衡时</t>
  </si>
  <si>
    <r>
      <rPr>
        <sz val="10"/>
        <color rgb="FF000000"/>
        <rFont val="Noto Sans CJK SC"/>
        <family val="2"/>
      </rPr>
      <t xml:space="preserve">入口指向 </t>
    </r>
    <r>
      <rPr>
        <sz val="10"/>
        <color rgb="FF000000"/>
        <rFont val="Microsoft YaHei"/>
        <family val="0"/>
        <charset val="1"/>
      </rPr>
      <t xml:space="preserve">LB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Microsoft YaHei"/>
        <family val="0"/>
        <charset val="1"/>
      </rPr>
      <t xml:space="preserve">VIP </t>
    </r>
    <r>
      <rPr>
        <sz val="10"/>
        <color rgb="FF000000"/>
        <rFont val="Noto Sans CJK SC"/>
        <family val="2"/>
      </rPr>
      <t xml:space="preserve">时，先要有 </t>
    </r>
    <r>
      <rPr>
        <sz val="10"/>
        <color rgb="FF000000"/>
        <rFont val="Microsoft YaHei"/>
        <family val="0"/>
        <charset val="1"/>
      </rPr>
      <t xml:space="preserve">LB </t>
    </r>
    <r>
      <rPr>
        <sz val="10"/>
        <color rgb="FF000000"/>
        <rFont val="Noto Sans CJK SC"/>
        <family val="2"/>
      </rPr>
      <t xml:space="preserve">设备的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，再沿 </t>
    </r>
    <r>
      <rPr>
        <sz val="10"/>
        <color rgb="FF000000"/>
        <rFont val="Microsoft YaHei"/>
        <family val="0"/>
        <charset val="1"/>
      </rPr>
      <t xml:space="preserve">LB </t>
    </r>
    <r>
      <rPr>
        <sz val="10"/>
        <color rgb="FF000000"/>
        <rFont val="Noto Sans CJK SC"/>
        <family val="2"/>
      </rPr>
      <t xml:space="preserve">后端继续发现</t>
    </r>
  </si>
  <si>
    <r>
      <rPr>
        <sz val="10"/>
        <color rgb="FF000000"/>
        <rFont val="Noto Sans CJK SC"/>
        <family val="2"/>
      </rPr>
      <t xml:space="preserve">地图上的 </t>
    </r>
    <r>
      <rPr>
        <sz val="10"/>
        <color rgb="FF000000"/>
        <rFont val="Microsoft YaHei"/>
        <family val="0"/>
        <charset val="1"/>
      </rPr>
      <t xml:space="preserve">LB CI</t>
    </r>
  </si>
  <si>
    <r>
      <rPr>
        <sz val="10"/>
        <color rgb="FF000000"/>
        <rFont val="Microsoft YaHei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侧的 </t>
    </r>
    <r>
      <rPr>
        <sz val="10"/>
        <color rgb="FF000000"/>
        <rFont val="Microsoft YaHei"/>
        <family val="0"/>
        <charset val="1"/>
      </rPr>
      <t xml:space="preserve">LB </t>
    </r>
    <r>
      <rPr>
        <sz val="10"/>
        <color rgb="FF000000"/>
        <rFont val="Noto Sans CJK SC"/>
        <family val="2"/>
      </rPr>
      <t xml:space="preserve">能否被识别并继续往后发现（以实例确认）</t>
    </r>
  </si>
  <si>
    <t xml:space="preserve">无（待判断）</t>
  </si>
  <si>
    <t xml:space="preserve">S-09</t>
  </si>
  <si>
    <r>
      <rPr>
        <b val="true"/>
        <sz val="10"/>
        <color rgb="FF000000"/>
        <rFont val="Noto Sans CJK SC"/>
        <family val="2"/>
      </rPr>
      <t xml:space="preserve">写入 </t>
    </r>
    <r>
      <rPr>
        <b val="true"/>
        <sz val="10"/>
        <color rgb="FF000000"/>
        <rFont val="Microsoft YaHei"/>
        <family val="0"/>
        <charset val="1"/>
      </rPr>
      <t xml:space="preserve">CMDB </t>
    </r>
    <r>
      <rPr>
        <b val="true"/>
        <sz val="10"/>
        <color rgb="FF000000"/>
        <rFont val="Noto Sans CJK SC"/>
        <family val="2"/>
      </rPr>
      <t xml:space="preserve">与服务成员</t>
    </r>
  </si>
  <si>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写入 </t>
    </r>
    <r>
      <rPr>
        <sz val="10"/>
        <color rgb="FF000000"/>
        <rFont val="Microsoft YaHei"/>
        <family val="0"/>
        <charset val="1"/>
      </rPr>
      <t xml:space="preserve">CMDB</t>
    </r>
    <r>
      <rPr>
        <sz val="10"/>
        <color rgb="FF000000"/>
        <rFont val="Noto Sans CJK SC"/>
        <family val="2"/>
      </rPr>
      <t xml:space="preserve">，并作为服务成员关联（</t>
    </r>
    <r>
      <rPr>
        <sz val="10"/>
        <color rgb="FF000000"/>
        <rFont val="Microsoft YaHei"/>
        <family val="0"/>
        <charset val="1"/>
      </rPr>
      <t xml:space="preserve">svc_ci_assoc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</si>
  <si>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记录、</t>
    </r>
    <r>
      <rPr>
        <sz val="10"/>
        <color rgb="FF000000"/>
        <rFont val="Microsoft YaHei"/>
        <family val="0"/>
        <charset val="1"/>
      </rPr>
      <t xml:space="preserve">svc_ci_assoc</t>
    </r>
  </si>
  <si>
    <r>
      <rPr>
        <sz val="10"/>
        <color rgb="FF000000"/>
        <rFont val="Noto Sans CJK SC"/>
        <family val="2"/>
      </rPr>
      <t xml:space="preserve">产生重复 </t>
    </r>
    <r>
      <rPr>
        <sz val="10"/>
        <color rgb="FF000000"/>
        <rFont val="Microsoft YaHei"/>
        <family val="0"/>
        <charset val="1"/>
      </rPr>
      <t xml:space="preserve">CI</t>
    </r>
    <r>
      <rPr>
        <sz val="10"/>
        <color rgb="FF000000"/>
        <rFont val="Noto Sans CJK SC"/>
        <family val="2"/>
      </rPr>
      <t xml:space="preserve">；与 </t>
    </r>
    <r>
      <rPr>
        <sz val="10"/>
        <color rgb="FF000000"/>
        <rFont val="Microsoft YaHei"/>
        <family val="0"/>
        <charset val="1"/>
      </rPr>
      <t xml:space="preserve">IP Range Discovery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ACC </t>
    </r>
    <r>
      <rPr>
        <sz val="10"/>
        <color rgb="FF000000"/>
        <rFont val="Noto Sans CJK SC"/>
        <family val="2"/>
      </rPr>
      <t xml:space="preserve">的属性互相覆盖</t>
    </r>
  </si>
  <si>
    <r>
      <rPr>
        <sz val="10"/>
        <color rgb="FF000000"/>
        <rFont val="Microsoft YaHei"/>
        <family val="0"/>
        <charset val="1"/>
      </rPr>
      <t xml:space="preserve">F31-1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F19</t>
    </r>
  </si>
  <si>
    <t xml:space="preserve">S-10</t>
  </si>
  <si>
    <r>
      <rPr>
        <b val="true"/>
        <sz val="10"/>
        <color rgb="FF000000"/>
        <rFont val="Noto Sans CJK SC"/>
        <family val="2"/>
      </rPr>
      <t xml:space="preserve">经 </t>
    </r>
    <r>
      <rPr>
        <b val="true"/>
        <sz val="10"/>
        <color rgb="FF000000"/>
        <rFont val="Microsoft YaHei"/>
        <family val="0"/>
        <charset val="1"/>
      </rPr>
      <t xml:space="preserve">ACC </t>
    </r>
    <r>
      <rPr>
        <b val="true"/>
        <sz val="10"/>
        <color rgb="FF000000"/>
        <rFont val="Noto Sans CJK SC"/>
        <family val="2"/>
      </rPr>
      <t xml:space="preserve">执行（可选路径）</t>
    </r>
  </si>
  <si>
    <r>
      <rPr>
        <sz val="10"/>
        <color rgb="FF000000"/>
        <rFont val="Noto Sans CJK SC"/>
        <family val="2"/>
      </rPr>
      <t xml:space="preserve">模式 </t>
    </r>
    <r>
      <rPr>
        <sz val="10"/>
        <color rgb="FF000000"/>
        <rFont val="Microsoft Ya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时命令经 </t>
    </r>
    <r>
      <rPr>
        <sz val="10"/>
        <color rgb="FF000000"/>
        <rFont val="Microsoft YaHei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执行，并选用该 </t>
    </r>
    <r>
      <rPr>
        <sz val="10"/>
        <color rgb="FF000000"/>
        <rFont val="Microsoft YaHei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所连接的 </t>
    </r>
    <r>
      <rPr>
        <sz val="10"/>
        <color rgb="FF000000"/>
        <rFont val="Microsoft YaHei"/>
        <family val="0"/>
        <charset val="1"/>
      </rPr>
      <t xml:space="preserve">MID</t>
    </r>
  </si>
  <si>
    <r>
      <rPr>
        <sz val="10"/>
        <color rgb="FF000000"/>
        <rFont val="Noto Sans CJK SC"/>
        <family val="2"/>
      </rPr>
      <t xml:space="preserve">发现日志、</t>
    </r>
    <r>
      <rPr>
        <sz val="10"/>
        <color rgb="FF000000"/>
        <rFont val="Microsoft YaHei"/>
        <family val="0"/>
        <charset val="1"/>
      </rPr>
      <t xml:space="preserve">ECC Queue</t>
    </r>
  </si>
  <si>
    <r>
      <rPr>
        <sz val="10"/>
        <color rgb="FF000000"/>
        <rFont val="Microsoft YaHei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不可用时的回退行为；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落点与两级 </t>
    </r>
    <r>
      <rPr>
        <sz val="10"/>
        <color rgb="FF000000"/>
        <rFont val="Microsoft YaHei"/>
        <family val="0"/>
        <charset val="1"/>
      </rPr>
      <t xml:space="preserve">LB </t>
    </r>
    <r>
      <rPr>
        <sz val="10"/>
        <color rgb="FF000000"/>
        <rFont val="Noto Sans CJK SC"/>
        <family val="2"/>
      </rPr>
      <t xml:space="preserve">的构成不一致</t>
    </r>
  </si>
  <si>
    <t xml:space="preserve">S-11</t>
  </si>
  <si>
    <r>
      <rPr>
        <sz val="10"/>
        <color rgb="FF000000"/>
        <rFont val="Noto Sans CJK SC"/>
        <family val="2"/>
      </rPr>
      <t xml:space="preserve">预置 </t>
    </r>
    <r>
      <rPr>
        <sz val="10"/>
        <color rgb="FF000000"/>
        <rFont val="Microsoft YaHei"/>
        <family val="0"/>
        <charset val="1"/>
      </rPr>
      <t xml:space="preserve">Schedule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All Applications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Load Balancer Service</t>
    </r>
    <r>
      <rPr>
        <sz val="10"/>
        <color rgb="FF000000"/>
        <rFont val="Noto Sans CJK SC"/>
        <family val="2"/>
      </rPr>
      <t xml:space="preserve">）每日执行；可另建自定义 </t>
    </r>
    <r>
      <rPr>
        <sz val="10"/>
        <color rgb="FF000000"/>
        <rFont val="Microsoft YaHei"/>
        <family val="0"/>
        <charset val="1"/>
      </rPr>
      <t xml:space="preserve">Schedule</t>
    </r>
  </si>
  <si>
    <r>
      <rPr>
        <sz val="10"/>
        <color rgb="FF000000"/>
        <rFont val="Microsoft YaHei"/>
        <family val="0"/>
        <charset val="1"/>
      </rPr>
      <t xml:space="preserve">Schedule </t>
    </r>
    <r>
      <rPr>
        <sz val="10"/>
        <color rgb="FF000000"/>
        <rFont val="Noto Sans CJK SC"/>
        <family val="2"/>
      </rPr>
      <t xml:space="preserve">记录、最后发现时间</t>
    </r>
  </si>
  <si>
    <r>
      <rPr>
        <sz val="10"/>
        <color rgb="FF000000"/>
        <rFont val="Noto Sans CJK SC"/>
        <family val="2"/>
      </rPr>
      <t xml:space="preserve">没有执行；时间窗口不够；按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类型的 </t>
    </r>
    <r>
      <rPr>
        <sz val="10"/>
        <color rgb="FF000000"/>
        <rFont val="Microsoft YaHei"/>
        <family val="0"/>
        <charset val="1"/>
      </rPr>
      <t xml:space="preserve">Schedule </t>
    </r>
    <r>
      <rPr>
        <sz val="10"/>
        <color rgb="FF000000"/>
        <rFont val="Noto Sans CJK SC"/>
        <family val="2"/>
      </rPr>
      <t xml:space="preserve">不处理非 </t>
    </r>
    <r>
      <rPr>
        <sz val="10"/>
        <color rgb="FF000000"/>
        <rFont val="Microsoft YaHei"/>
        <family val="0"/>
        <charset val="1"/>
      </rPr>
      <t xml:space="preserve">Operational </t>
    </r>
    <r>
      <rPr>
        <sz val="10"/>
        <color rgb="FF000000"/>
        <rFont val="Noto Sans CJK SC"/>
        <family val="2"/>
      </rPr>
      <t xml:space="preserve">的服务</t>
    </r>
  </si>
  <si>
    <r>
      <rPr>
        <sz val="10"/>
        <color rgb="FF000000"/>
        <rFont val="Microsoft YaHei"/>
        <family val="0"/>
        <charset val="1"/>
      </rPr>
      <t xml:space="preserve">F33-1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NF55</t>
    </r>
  </si>
  <si>
    <t xml:space="preserve">S-12</t>
  </si>
  <si>
    <t xml:space="preserve">重新发现失败</t>
  </si>
  <si>
    <r>
      <rPr>
        <sz val="10"/>
        <color rgb="FF000000"/>
        <rFont val="Noto Sans CJK SC"/>
        <family val="2"/>
      </rPr>
      <t xml:space="preserve">失败的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或地图片段灰显</t>
    </r>
  </si>
  <si>
    <r>
      <rPr>
        <sz val="10"/>
        <color rgb="FF000000"/>
        <rFont val="Noto Sans CJK SC"/>
        <family val="2"/>
      </rPr>
      <t xml:space="preserve">服务地图、</t>
    </r>
    <r>
      <rPr>
        <sz val="10"/>
        <color rgb="FF000000"/>
        <rFont val="Microsoft YaHei"/>
        <family val="0"/>
        <charset val="1"/>
      </rPr>
      <t xml:space="preserve">Discovery Messages</t>
    </r>
  </si>
  <si>
    <t xml:space="preserve">地图保留旧数据而无人察觉</t>
  </si>
  <si>
    <t xml:space="preserve">S-13</t>
  </si>
  <si>
    <t xml:space="preserve">变化的反映（重算）</t>
  </si>
  <si>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或关系变化后，由重算作业（每 </t>
    </r>
    <r>
      <rPr>
        <sz val="10"/>
        <color rgb="FF000000"/>
        <rFont val="Microsoft YaHei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秒运行）更新服务</t>
    </r>
  </si>
  <si>
    <t xml:space="preserve">服务时间线</t>
  </si>
  <si>
    <t xml:space="preserve">批量变更时出现延迟；变更没有反映</t>
  </si>
  <si>
    <r>
      <rPr>
        <sz val="10"/>
        <color rgb="FF000000"/>
        <rFont val="Microsoft YaHei"/>
        <family val="0"/>
        <charset val="1"/>
      </rPr>
      <t xml:space="preserve">F33-2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NF52</t>
    </r>
  </si>
  <si>
    <t xml:space="preserve">S-14</t>
  </si>
  <si>
    <t xml:space="preserve">服务完成与交付</t>
  </si>
  <si>
    <r>
      <rPr>
        <sz val="10"/>
        <color rgb="FF000000"/>
        <rFont val="Microsoft YaHei"/>
        <family val="0"/>
        <charset val="1"/>
      </rPr>
      <t xml:space="preserve">Owner </t>
    </r>
    <r>
      <rPr>
        <sz val="10"/>
        <color rgb="FF000000"/>
        <rFont val="Noto Sans CJK SC"/>
        <family val="2"/>
      </rPr>
      <t xml:space="preserve">审核地图（</t>
    </r>
    <r>
      <rPr>
        <sz val="10"/>
        <color rgb="FF000000"/>
        <rFont val="Microsoft YaHei"/>
        <family val="0"/>
        <charset val="1"/>
      </rPr>
      <t xml:space="preserve">Review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Approval</t>
    </r>
    <r>
      <rPr>
        <sz val="10"/>
        <color rgb="FF000000"/>
        <rFont val="Noto Sans CJK SC"/>
        <family val="2"/>
      </rPr>
      <t xml:space="preserve">）、访问权限、</t>
    </r>
    <r>
      <rPr>
        <sz val="10"/>
        <color rgb="FF000000"/>
        <rFont val="Microsoft YaHei"/>
        <family val="0"/>
        <charset val="1"/>
      </rPr>
      <t xml:space="preserve">Service Offering </t>
    </r>
    <r>
      <rPr>
        <sz val="10"/>
        <color rgb="FF000000"/>
        <rFont val="Noto Sans CJK SC"/>
        <family val="2"/>
      </rPr>
      <t xml:space="preserve">关联</t>
    </r>
  </si>
  <si>
    <t xml:space="preserve">服务记录</t>
  </si>
  <si>
    <r>
      <rPr>
        <sz val="10"/>
        <color rgb="FF000000"/>
        <rFont val="Noto Sans CJK SC"/>
        <family val="2"/>
      </rPr>
      <t xml:space="preserve">没有 </t>
    </r>
    <r>
      <rPr>
        <sz val="10"/>
        <color rgb="FF000000"/>
        <rFont val="Microsoft YaHei"/>
        <family val="0"/>
        <charset val="1"/>
      </rPr>
      <t xml:space="preserve">Owner </t>
    </r>
    <r>
      <rPr>
        <sz val="10"/>
        <color rgb="FF000000"/>
        <rFont val="Noto Sans CJK SC"/>
        <family val="2"/>
      </rPr>
      <t xml:space="preserve">或未经审核；关系类型错误；权限过宽</t>
    </r>
  </si>
  <si>
    <r>
      <rPr>
        <sz val="10"/>
        <color rgb="FF000000"/>
        <rFont val="Microsoft YaHei"/>
        <family val="0"/>
        <charset val="1"/>
      </rPr>
      <t xml:space="preserve">F35-1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NF61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Review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Microsoft YaHei"/>
        <family val="0"/>
        <charset val="1"/>
      </rPr>
      <t xml:space="preserve">Approval </t>
    </r>
    <r>
      <rPr>
        <sz val="10"/>
        <color rgb="FF000000"/>
        <rFont val="Noto Sans CJK SC"/>
        <family val="2"/>
      </rPr>
      <t xml:space="preserve">尚无用例）</t>
    </r>
  </si>
  <si>
    <t xml:space="preserve">关键词与在实例里哪里看</t>
  </si>
  <si>
    <t xml:space="preserve">词语</t>
  </si>
  <si>
    <t xml:space="preserve">一句话说明</t>
  </si>
  <si>
    <t xml:space="preserve">在实例里哪里看</t>
  </si>
  <si>
    <r>
      <rPr>
        <b val="true"/>
        <sz val="10"/>
        <color rgb="FF000000"/>
        <rFont val="Microsoft YaHei"/>
        <family val="0"/>
        <charset val="1"/>
      </rPr>
      <t xml:space="preserve">Top-down discovery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Microsoft YaHei"/>
        <family val="0"/>
        <charset val="1"/>
      </rPr>
      <t xml:space="preserve">Pattern-based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</si>
  <si>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从入口出发，用 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逐层发现应用及其连接，生成服务地图</t>
    </r>
  </si>
  <si>
    <t xml:space="preserve">Service Mapping &gt; Home</t>
  </si>
  <si>
    <t xml:space="preserve">R-03</t>
  </si>
  <si>
    <r>
      <rPr>
        <b val="true"/>
        <sz val="10"/>
        <color rgb="FF000000"/>
        <rFont val="Microsoft YaHei"/>
        <family val="0"/>
        <charset val="1"/>
      </rPr>
      <t xml:space="preserve">Entry point</t>
    </r>
    <r>
      <rPr>
        <b val="true"/>
        <sz val="10"/>
        <color rgb="FF000000"/>
        <rFont val="Noto Sans CJK SC"/>
        <family val="2"/>
      </rPr>
      <t xml:space="preserve">（入口点）</t>
    </r>
  </si>
  <si>
    <r>
      <rPr>
        <sz val="10"/>
        <color rgb="FF000000"/>
        <rFont val="Noto Sans CJK SC"/>
        <family val="2"/>
      </rPr>
      <t xml:space="preserve">客户端访问服务的地方，通常是 </t>
    </r>
    <r>
      <rPr>
        <sz val="10"/>
        <color rgb="FF000000"/>
        <rFont val="Microsoft YaHei"/>
        <family val="0"/>
        <charset val="1"/>
      </rPr>
      <t xml:space="preserve">URL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Microsoft YaHei"/>
        <family val="0"/>
        <charset val="1"/>
      </rPr>
      <t xml:space="preserve">IP+</t>
    </r>
    <r>
      <rPr>
        <sz val="10"/>
        <color rgb="FF000000"/>
        <rFont val="Noto Sans CJK SC"/>
        <family val="2"/>
      </rPr>
      <t xml:space="preserve">端口；映射从这里开始</t>
    </r>
  </si>
  <si>
    <r>
      <rPr>
        <sz val="10"/>
        <color rgb="FF000000"/>
        <rFont val="Noto Sans CJK SC"/>
        <family val="2"/>
      </rPr>
      <t xml:space="preserve">服务记录的 </t>
    </r>
    <r>
      <rPr>
        <sz val="10"/>
        <color rgb="FF000000"/>
        <rFont val="Microsoft YaHei"/>
        <family val="0"/>
        <charset val="1"/>
      </rPr>
      <t xml:space="preserve">Entry Points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cmdb_ci_endpoint_* </t>
    </r>
    <r>
      <rPr>
        <sz val="10"/>
        <color rgb="FF000000"/>
        <rFont val="Noto Sans CJK SC"/>
        <family val="2"/>
      </rPr>
      <t xml:space="preserve">表</t>
    </r>
  </si>
  <si>
    <t xml:space="preserve">R-05</t>
  </si>
  <si>
    <t xml:space="preserve">Mapped Application Service</t>
  </si>
  <si>
    <r>
      <rPr>
        <sz val="10"/>
        <color rgb="FF000000"/>
        <rFont val="Microsoft YaHei"/>
        <family val="0"/>
        <charset val="1"/>
      </rPr>
      <t xml:space="preserve">Top-down</t>
    </r>
    <r>
      <rPr>
        <sz val="10"/>
        <color rgb="FF000000"/>
        <rFont val="Noto Sans CJK SC"/>
        <family val="2"/>
      </rPr>
      <t xml:space="preserve">（以及手动）创建的服务实例所在的表</t>
    </r>
  </si>
  <si>
    <r>
      <rPr>
        <sz val="10"/>
        <color rgb="FF000000"/>
        <rFont val="Microsoft YaHei"/>
        <family val="0"/>
        <charset val="1"/>
      </rPr>
      <t xml:space="preserve">cmdb_ci_service_discovered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Service Mapping &gt; Services &gt; Service Instances</t>
    </r>
  </si>
  <si>
    <t xml:space="preserve">Pattern</t>
  </si>
  <si>
    <r>
      <rPr>
        <sz val="10"/>
        <color rgb="FF000000"/>
        <rFont val="Noto Sans CJK SC"/>
        <family val="2"/>
      </rPr>
      <t xml:space="preserve">一组命令，用来识别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的属性和它的出站连接；应用类 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由横向发现和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共用</t>
    </r>
  </si>
  <si>
    <r>
      <rPr>
        <sz val="10"/>
        <color rgb="FF000000"/>
        <rFont val="Microsoft YaHei"/>
        <family val="0"/>
        <charset val="1"/>
      </rPr>
      <t xml:space="preserve">All &gt; Pattern Designer &gt; Discovery Patterns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sa_pattern </t>
    </r>
    <r>
      <rPr>
        <sz val="10"/>
        <color rgb="FF000000"/>
        <rFont val="Noto Sans CJK SC"/>
        <family val="2"/>
      </rPr>
      <t xml:space="preserve">表</t>
    </r>
  </si>
  <si>
    <t xml:space="preserve">R-08</t>
  </si>
  <si>
    <r>
      <rPr>
        <b val="true"/>
        <sz val="10"/>
        <color rgb="FF000000"/>
        <rFont val="Microsoft YaHei"/>
        <family val="0"/>
        <charset val="1"/>
      </rPr>
      <t xml:space="preserve">Application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Microsoft YaHei"/>
        <family val="0"/>
        <charset val="1"/>
      </rPr>
      <t xml:space="preserve">Infrastructure pattern</t>
    </r>
  </si>
  <si>
    <r>
      <rPr>
        <sz val="10"/>
        <color rgb="FF000000"/>
        <rFont val="Noto Sans CJK SC"/>
        <family val="2"/>
      </rPr>
      <t xml:space="preserve">应用类可用于 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和横向发现；基础设施类只用于横向发现</t>
    </r>
  </si>
  <si>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Basic </t>
    </r>
    <r>
      <rPr>
        <sz val="10"/>
        <color rgb="FF000000"/>
        <rFont val="Noto Sans CJK SC"/>
        <family val="2"/>
      </rPr>
      <t xml:space="preserve">页签</t>
    </r>
  </si>
  <si>
    <t xml:space="preserve">Identification section</t>
  </si>
  <si>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中识别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的步骤，对应一种入口类型</t>
    </r>
  </si>
  <si>
    <t xml:space="preserve">Pattern Designer</t>
  </si>
  <si>
    <t xml:space="preserve">R-09</t>
  </si>
  <si>
    <t xml:space="preserve">Connection section</t>
  </si>
  <si>
    <r>
      <rPr>
        <sz val="10"/>
        <color rgb="FF000000"/>
        <rFont val="Noto Sans CJK SC"/>
        <family val="2"/>
      </rPr>
      <t xml:space="preserve">应用类 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中查找出站连接的步骤（</t>
    </r>
    <r>
      <rPr>
        <sz val="10"/>
        <color rgb="FF000000"/>
        <rFont val="Microsoft YaHei"/>
        <family val="0"/>
        <charset val="1"/>
      </rPr>
      <t xml:space="preserve">R-03 </t>
    </r>
    <r>
      <rPr>
        <sz val="10"/>
        <color rgb="FF000000"/>
        <rFont val="Noto Sans CJK SC"/>
        <family val="2"/>
      </rPr>
      <t xml:space="preserve">称为 </t>
    </r>
    <r>
      <rPr>
        <sz val="10"/>
        <color rgb="FF000000"/>
        <rFont val="Microsoft YaHei"/>
        <family val="0"/>
        <charset val="1"/>
      </rPr>
      <t xml:space="preserve">connectivity sections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</si>
  <si>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Microsoft YaHei"/>
        <family val="0"/>
        <charset val="1"/>
      </rPr>
      <t xml:space="preserve">R-03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R-09</t>
    </r>
  </si>
  <si>
    <r>
      <rPr>
        <b val="true"/>
        <sz val="10"/>
        <color rgb="FF000000"/>
        <rFont val="Noto Sans CJK SC"/>
        <family val="2"/>
      </rPr>
      <t xml:space="preserve">横向发现（</t>
    </r>
    <r>
      <rPr>
        <b val="true"/>
        <sz val="10"/>
        <color rgb="FF000000"/>
        <rFont val="Microsoft YaHei"/>
        <family val="0"/>
        <charset val="1"/>
      </rPr>
      <t xml:space="preserve">Horizontal discovery</t>
    </r>
    <r>
      <rPr>
        <b val="true"/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</si>
  <si>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按 </t>
    </r>
    <r>
      <rPr>
        <sz val="10"/>
        <color rgb="FF000000"/>
        <rFont val="Microsoft YaHei"/>
        <family val="0"/>
        <charset val="1"/>
      </rPr>
      <t xml:space="preserve">IP </t>
    </r>
    <r>
      <rPr>
        <sz val="10"/>
        <color rgb="FF000000"/>
        <rFont val="Noto Sans CJK SC"/>
        <family val="2"/>
      </rPr>
      <t xml:space="preserve">发现主机；</t>
    </r>
    <r>
      <rPr>
        <sz val="10"/>
        <color rgb="FF000000"/>
        <rFont val="Microsoft YaHei"/>
        <family val="0"/>
        <charset val="1"/>
      </rPr>
      <t xml:space="preserve">Top-down </t>
    </r>
    <r>
      <rPr>
        <sz val="10"/>
        <color rgb="FF000000"/>
        <rFont val="Noto Sans CJK SC"/>
        <family val="2"/>
      </rPr>
      <t xml:space="preserve">在入口主机不在 </t>
    </r>
    <r>
      <rPr>
        <sz val="10"/>
        <color rgb="FF000000"/>
        <rFont val="Microsoft YaHei"/>
        <family val="0"/>
        <charset val="1"/>
      </rPr>
      <t xml:space="preserve">CMDB </t>
    </r>
    <r>
      <rPr>
        <sz val="10"/>
        <color rgb="FF000000"/>
        <rFont val="Noto Sans CJK SC"/>
        <family val="2"/>
      </rPr>
      <t xml:space="preserve">时会自动触发</t>
    </r>
  </si>
  <si>
    <t xml:space="preserve">Discovery Status</t>
  </si>
  <si>
    <t xml:space="preserve">R-04</t>
  </si>
  <si>
    <t xml:space="preserve">Boundary</t>
  </si>
  <si>
    <r>
      <rPr>
        <sz val="10"/>
        <color rgb="FF000000"/>
        <rFont val="Noto Sans CJK SC"/>
        <family val="2"/>
      </rPr>
      <t xml:space="preserve">标记后，映射在该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停止，不再沿它的出站连接继续</t>
    </r>
  </si>
  <si>
    <t xml:space="preserve">服务地图</t>
  </si>
  <si>
    <t xml:space="preserve">Discovery Messages</t>
  </si>
  <si>
    <t xml:space="preserve">地图下方的页签，列出发现中的错误和警告</t>
  </si>
  <si>
    <r>
      <rPr>
        <sz val="10"/>
        <color rgb="FF000000"/>
        <rFont val="Noto Sans CJK SC"/>
        <family val="2"/>
      </rPr>
      <t xml:space="preserve">服务地图（</t>
    </r>
    <r>
      <rPr>
        <sz val="10"/>
        <color rgb="FF000000"/>
        <rFont val="Microsoft YaHei"/>
        <family val="0"/>
        <charset val="1"/>
      </rPr>
      <t xml:space="preserve">Edit </t>
    </r>
    <r>
      <rPr>
        <sz val="10"/>
        <color rgb="FF000000"/>
        <rFont val="Noto Sans CJK SC"/>
        <family val="2"/>
      </rPr>
      <t xml:space="preserve">模式）</t>
    </r>
  </si>
  <si>
    <t xml:space="preserve">svc_ci_assoc</t>
  </si>
  <si>
    <r>
      <rPr>
        <sz val="10"/>
        <color rgb="FF000000"/>
        <rFont val="Noto Sans CJK SC"/>
        <family val="2"/>
      </rPr>
      <t xml:space="preserve">服务与其成员 </t>
    </r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的关联表</t>
    </r>
  </si>
  <si>
    <t xml:space="preserve">svc_ci_assoc.list</t>
  </si>
  <si>
    <t xml:space="preserve">R-22</t>
  </si>
  <si>
    <r>
      <rPr>
        <b val="true"/>
        <sz val="10"/>
        <color rgb="FF000000"/>
        <rFont val="Microsoft YaHei"/>
        <family val="0"/>
        <charset val="1"/>
      </rPr>
      <t xml:space="preserve">cmdb_tcp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Microsoft YaHei"/>
        <family val="0"/>
        <charset val="1"/>
      </rPr>
      <t xml:space="preserve">sa_flow_connection</t>
    </r>
  </si>
  <si>
    <r>
      <rPr>
        <sz val="10"/>
        <color rgb="FF000000"/>
        <rFont val="Noto Sans CJK SC"/>
        <family val="2"/>
      </rPr>
      <t xml:space="preserve">补充连接信息的数据来源，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没发现的连接会据此补到地图上</t>
    </r>
  </si>
  <si>
    <t xml:space="preserve">对应表的列表</t>
  </si>
  <si>
    <r>
      <rPr>
        <sz val="10"/>
        <color rgb="FF000000"/>
        <rFont val="Microsoft YaHei"/>
        <family val="0"/>
        <charset val="1"/>
      </rPr>
      <t xml:space="preserve">R-03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R-20</t>
    </r>
  </si>
  <si>
    <r>
      <rPr>
        <b val="true"/>
        <sz val="10"/>
        <color rgb="FF000000"/>
        <rFont val="Microsoft YaHei"/>
        <family val="0"/>
        <charset val="1"/>
      </rPr>
      <t xml:space="preserve">Recomputation</t>
    </r>
    <r>
      <rPr>
        <b val="true"/>
        <sz val="10"/>
        <color rgb="FF000000"/>
        <rFont val="Noto Sans CJK SC"/>
        <family val="2"/>
      </rPr>
      <t xml:space="preserve">（重算）</t>
    </r>
  </si>
  <si>
    <r>
      <rPr>
        <sz val="10"/>
        <color rgb="FF000000"/>
        <rFont val="Microsoft YaHei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或关系变化后重新计算服务，作业每 </t>
    </r>
    <r>
      <rPr>
        <sz val="10"/>
        <color rgb="FF000000"/>
        <rFont val="Microsoft YaHei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秒运行一次</t>
    </r>
  </si>
  <si>
    <t xml:space="preserve">R-17</t>
  </si>
  <si>
    <t xml:space="preserve">Readiness Checklist</t>
  </si>
  <si>
    <t xml:space="preserve">映射前的就绪检查，必需项有错误时不能开始</t>
  </si>
  <si>
    <r>
      <rPr>
        <b val="true"/>
        <sz val="10"/>
        <color rgb="FF000000"/>
        <rFont val="Microsoft YaHei"/>
        <family val="0"/>
        <charset val="1"/>
      </rPr>
      <t xml:space="preserve">Debug Mode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Microsoft YaHei"/>
        <family val="0"/>
        <charset val="1"/>
      </rPr>
      <t xml:space="preserve">Pattern Sync to MID</t>
    </r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</si>
  <si>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Microsoft YaHei"/>
        <family val="0"/>
        <charset val="1"/>
      </rPr>
      <t xml:space="preserve">Pattern Designer </t>
    </r>
    <r>
      <rPr>
        <sz val="10"/>
        <color rgb="FF000000"/>
        <rFont val="Noto Sans CJK SC"/>
        <family val="2"/>
      </rPr>
      <t xml:space="preserve">中针对指定主机调试 </t>
    </r>
    <r>
      <rPr>
        <sz val="10"/>
        <color rgb="FF000000"/>
        <rFont val="Microsoft YaHei"/>
        <family val="0"/>
        <charset val="1"/>
      </rPr>
      <t xml:space="preserve">Pattern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Pattern </t>
    </r>
    <r>
      <rPr>
        <sz val="10"/>
        <color rgb="FF000000"/>
        <rFont val="Noto Sans CJK SC"/>
        <family val="2"/>
      </rPr>
      <t xml:space="preserve">更新后同步到 </t>
    </r>
    <r>
      <rPr>
        <sz val="10"/>
        <color rgb="FF000000"/>
        <rFont val="Microsoft YaHei"/>
        <family val="0"/>
        <charset val="1"/>
      </rPr>
      <t xml:space="preserve">MID</t>
    </r>
  </si>
  <si>
    <r>
      <rPr>
        <sz val="10"/>
        <color rgb="FF000000"/>
        <rFont val="Microsoft YaHei"/>
        <family val="0"/>
        <charset val="1"/>
      </rPr>
      <t xml:space="preserve">Pattern Designer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Discovery &gt; MID Servers</t>
    </r>
  </si>
  <si>
    <t xml:space="preserve">sa.topdown.mapping_with_acc_mode</t>
  </si>
  <si>
    <r>
      <rPr>
        <sz val="10"/>
        <color rgb="FF000000"/>
        <rFont val="Microsoft YaHei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：只用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（默认）；</t>
    </r>
    <r>
      <rPr>
        <sz val="10"/>
        <color rgb="FF000000"/>
        <rFont val="Microsoft YaHe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：优先用 </t>
    </r>
    <r>
      <rPr>
        <sz val="10"/>
        <color rgb="FF000000"/>
        <rFont val="Microsoft YaHei"/>
        <family val="0"/>
        <charset val="1"/>
      </rPr>
      <t xml:space="preserve">ACC</t>
    </r>
    <r>
      <rPr>
        <sz val="10"/>
        <color rgb="FF000000"/>
        <rFont val="Noto Sans CJK SC"/>
        <family val="2"/>
      </rPr>
      <t xml:space="preserve">，没有 </t>
    </r>
    <r>
      <rPr>
        <sz val="10"/>
        <color rgb="FF000000"/>
        <rFont val="Microsoft YaHei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时用 </t>
    </r>
    <r>
      <rPr>
        <sz val="10"/>
        <color rgb="FF000000"/>
        <rFont val="Microsoft YaHei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Microsoft YaHe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：只用 </t>
    </r>
    <r>
      <rPr>
        <sz val="10"/>
        <color rgb="FF000000"/>
        <rFont val="Microsoft YaHei"/>
        <family val="0"/>
        <charset val="1"/>
      </rPr>
      <t xml:space="preserve">ACC</t>
    </r>
  </si>
  <si>
    <t xml:space="preserve">sys_properties</t>
  </si>
  <si>
    <t xml:space="preserve">mid.servicewatch.wmi.mui</t>
  </si>
  <si>
    <r>
      <rPr>
        <sz val="10"/>
        <color rgb="FF000000"/>
        <rFont val="Noto Sans CJK SC"/>
        <family val="2"/>
      </rPr>
      <t xml:space="preserve">目标为非英语 </t>
    </r>
    <r>
      <rPr>
        <sz val="10"/>
        <color rgb="FF000000"/>
        <rFont val="Microsoft YaHei"/>
        <family val="0"/>
        <charset val="1"/>
      </rPr>
      <t xml:space="preserve">Windows </t>
    </r>
    <r>
      <rPr>
        <sz val="10"/>
        <color rgb="FF000000"/>
        <rFont val="Noto Sans CJK SC"/>
        <family val="2"/>
      </rPr>
      <t xml:space="preserve">时，让 </t>
    </r>
    <r>
      <rPr>
        <sz val="10"/>
        <color rgb="FF000000"/>
        <rFont val="Microsoft YaHei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能识别其响应</t>
    </r>
  </si>
  <si>
    <t xml:space="preserve">MID Server &gt; Properties</t>
  </si>
  <si>
    <t xml:space="preserve">R-12</t>
  </si>
  <si>
    <r>
      <rPr>
        <b val="true"/>
        <sz val="10"/>
        <color rgb="FF000000"/>
        <rFont val="Microsoft YaHei"/>
        <family val="0"/>
        <charset val="1"/>
      </rPr>
      <t xml:space="preserve">All Applications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Microsoft YaHei"/>
        <family val="0"/>
        <charset val="1"/>
      </rPr>
      <t xml:space="preserve">Load Balancer Service</t>
    </r>
  </si>
  <si>
    <r>
      <rPr>
        <sz val="10"/>
        <color rgb="FF000000"/>
        <rFont val="Noto Sans CJK SC"/>
        <family val="2"/>
      </rPr>
      <t xml:space="preserve">预置的每日重新发现 </t>
    </r>
    <r>
      <rPr>
        <sz val="10"/>
        <color rgb="FF000000"/>
        <rFont val="Microsoft YaHei"/>
        <family val="0"/>
        <charset val="1"/>
      </rPr>
      <t xml:space="preserve">Schedule</t>
    </r>
  </si>
  <si>
    <r>
      <rPr>
        <sz val="10"/>
        <color rgb="FF000000"/>
        <rFont val="Microsoft YaHei"/>
        <family val="0"/>
        <charset val="1"/>
      </rPr>
      <t xml:space="preserve">Service Mapping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Microsoft YaHei"/>
        <family val="0"/>
        <charset val="1"/>
      </rPr>
      <t xml:space="preserve">Schedule</t>
    </r>
  </si>
  <si>
    <r>
      <rPr>
        <b val="true"/>
        <sz val="10"/>
        <color rgb="FF000000"/>
        <rFont val="Microsoft YaHei"/>
        <family val="0"/>
        <charset val="1"/>
      </rPr>
      <t xml:space="preserve">service_mapping_admin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Microsoft YaHei"/>
        <family val="0"/>
        <charset val="1"/>
      </rPr>
      <t xml:space="preserve">sm_app_owner</t>
    </r>
  </si>
  <si>
    <t xml:space="preserve">映射管理员／服务负责人（审核地图）</t>
  </si>
  <si>
    <t xml:space="preserve">用户的角色</t>
  </si>
  <si>
    <r>
      <rPr>
        <sz val="10"/>
        <color rgb="FF000000"/>
        <rFont val="Microsoft YaHei"/>
        <family val="0"/>
        <charset val="1"/>
      </rPr>
      <t xml:space="preserve">R-06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R-19</t>
    </r>
  </si>
  <si>
    <r>
      <rPr>
        <b val="true"/>
        <sz val="14"/>
        <color rgb="FF000000"/>
        <rFont val="Noto Sans CJK SC"/>
        <family val="2"/>
      </rPr>
      <t xml:space="preserve">资料一览（官方文档均为 </t>
    </r>
    <r>
      <rPr>
        <b val="true"/>
        <sz val="14"/>
        <color rgb="FF000000"/>
        <rFont val="Microsoft YaHei"/>
        <family val="0"/>
        <charset val="1"/>
      </rPr>
      <t xml:space="preserve">Australia </t>
    </r>
    <r>
      <rPr>
        <b val="true"/>
        <sz val="14"/>
        <color rgb="FF000000"/>
        <rFont val="Noto Sans CJK SC"/>
        <family val="2"/>
      </rPr>
      <t xml:space="preserve">版，</t>
    </r>
    <r>
      <rPr>
        <b val="true"/>
        <sz val="14"/>
        <color rgb="FF000000"/>
        <rFont val="Microsoft YaHei"/>
        <family val="0"/>
        <charset val="1"/>
      </rPr>
      <t xml:space="preserve">2026-10-26 </t>
    </r>
    <r>
      <rPr>
        <b val="true"/>
        <sz val="14"/>
        <color rgb="FF000000"/>
        <rFont val="Noto Sans CJK SC"/>
        <family val="2"/>
      </rPr>
      <t xml:space="preserve">确认可打开）</t>
    </r>
  </si>
  <si>
    <r>
      <rPr>
        <sz val="9"/>
        <color rgb="FF404040"/>
        <rFont val="Noto Sans CJK SC"/>
        <family val="2"/>
      </rPr>
      <t xml:space="preserve">“阅读时间”为官方页面标注的分钟数。</t>
    </r>
    <r>
      <rPr>
        <sz val="9"/>
        <color rgb="FF404040"/>
        <rFont val="Microsoft YaHei"/>
        <family val="0"/>
        <charset val="1"/>
      </rPr>
      <t xml:space="preserve">R-07</t>
    </r>
    <r>
      <rPr>
        <sz val="9"/>
        <color rgb="FF404040"/>
        <rFont val="Noto Sans CJK SC"/>
        <family val="2"/>
      </rPr>
      <t xml:space="preserve">、</t>
    </r>
    <r>
      <rPr>
        <sz val="9"/>
        <color rgb="FF404040"/>
        <rFont val="Microsoft YaHei"/>
        <family val="0"/>
        <charset val="1"/>
      </rPr>
      <t xml:space="preserve">R-11 </t>
    </r>
    <r>
      <rPr>
        <sz val="9"/>
        <color rgb="FF404040"/>
        <rFont val="Noto Sans CJK SC"/>
        <family val="2"/>
      </rPr>
      <t xml:space="preserve">很长，只读学习清单中指定的部分。</t>
    </r>
    <r>
      <rPr>
        <sz val="9"/>
        <color rgb="FF404040"/>
        <rFont val="Microsoft YaHei"/>
        <family val="0"/>
        <charset val="1"/>
      </rPr>
      <t xml:space="preserve">R-23 </t>
    </r>
    <r>
      <rPr>
        <sz val="9"/>
        <color rgb="FF404040"/>
        <rFont val="Noto Sans CJK SC"/>
        <family val="2"/>
      </rPr>
      <t xml:space="preserve">为社区文章、</t>
    </r>
    <r>
      <rPr>
        <sz val="9"/>
        <color rgb="FF404040"/>
        <rFont val="Microsoft YaHei"/>
        <family val="0"/>
        <charset val="1"/>
      </rPr>
      <t xml:space="preserve">R-24 </t>
    </r>
    <r>
      <rPr>
        <sz val="9"/>
        <color rgb="FF404040"/>
        <rFont val="Noto Sans CJK SC"/>
        <family val="2"/>
      </rPr>
      <t xml:space="preserve">为培训课程，不是产品文档。</t>
    </r>
  </si>
  <si>
    <t xml:space="preserve">ID</t>
  </si>
  <si>
    <t xml:space="preserve">资料／页面</t>
  </si>
  <si>
    <t xml:space="preserve">类型</t>
  </si>
  <si>
    <r>
      <rPr>
        <b val="true"/>
        <sz val="10"/>
        <color rgb="FF000000"/>
        <rFont val="Noto Sans CJK SC"/>
        <family val="2"/>
      </rPr>
      <t xml:space="preserve">阅读时间</t>
    </r>
    <r>
      <rPr>
        <b val="true"/>
        <sz val="10"/>
        <color rgb="FF000000"/>
        <rFont val="Microsoft YaHei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分</t>
    </r>
    <r>
      <rPr>
        <b val="true"/>
        <sz val="10"/>
        <color rgb="FF000000"/>
        <rFont val="Microsoft YaHei"/>
        <family val="0"/>
        <charset val="1"/>
      </rPr>
      <t xml:space="preserve">)</t>
    </r>
  </si>
  <si>
    <t xml:space="preserve">URL</t>
  </si>
  <si>
    <t xml:space="preserve">用于</t>
  </si>
  <si>
    <t xml:space="preserve">R-01</t>
  </si>
  <si>
    <t xml:space="preserve">Choose the right method for discovering and mapping services</t>
  </si>
  <si>
    <t xml:space="preserve">官方文档</t>
  </si>
  <si>
    <t xml:space="preserve">https://www.servicenow.com/docs/r/australia/it-operations-management/service-mapping/choose-mapping-method.html</t>
  </si>
  <si>
    <t xml:space="preserve">R-02</t>
  </si>
  <si>
    <t xml:space="preserve">Service instances (Application services)</t>
  </si>
  <si>
    <t xml:space="preserve">https://www.servicenow.com/docs/r/australia/servicenow-platform/configuration-management-database-cmdb/application-services.html</t>
  </si>
  <si>
    <r>
      <rPr>
        <sz val="10"/>
        <color rgb="FF000000"/>
        <rFont val="Microsoft YaHei"/>
        <family val="0"/>
        <charset val="1"/>
      </rPr>
      <t xml:space="preserve">L-02</t>
    </r>
    <r>
      <rPr>
        <sz val="10"/>
        <color rgb="FF000000"/>
        <rFont val="Noto Sans CJK SC"/>
        <family val="2"/>
      </rPr>
      <t xml:space="preserve">（只看“</t>
    </r>
    <r>
      <rPr>
        <sz val="10"/>
        <color rgb="FF000000"/>
        <rFont val="Microsoft YaHei"/>
        <family val="0"/>
        <charset val="1"/>
      </rPr>
      <t xml:space="preserve">How to create”</t>
    </r>
    <r>
      <rPr>
        <sz val="10"/>
        <color rgb="FF000000"/>
        <rFont val="Noto Sans CJK SC"/>
        <family val="2"/>
      </rPr>
      <t xml:space="preserve">表）</t>
    </r>
  </si>
  <si>
    <t xml:space="preserve">Pattern-based discovery in Service Mapping</t>
  </si>
  <si>
    <t xml:space="preserve">https://www.servicenow.com/docs/r/australia/it-operations-management/service-mapping/pattern-based-discovery.html</t>
  </si>
  <si>
    <r>
      <rPr>
        <sz val="10"/>
        <color rgb="FF000000"/>
        <rFont val="Microsoft YaHei"/>
        <family val="0"/>
        <charset val="1"/>
      </rPr>
      <t xml:space="preserve">L-03</t>
    </r>
    <r>
      <rPr>
        <sz val="10"/>
        <color rgb="FF000000"/>
        <rFont val="Noto Sans CJK SC"/>
        <family val="2"/>
      </rPr>
      <t xml:space="preserve">（核心）</t>
    </r>
  </si>
  <si>
    <t xml:space="preserve">Horizontal discovery process flow with probes and sensors</t>
  </si>
  <si>
    <t xml:space="preserve">https://www.servicenow.com/docs/r/australia/it-operations-management/discovery/c_DiscoProcessFlows.html</t>
  </si>
  <si>
    <t xml:space="preserve">Entry point attributes</t>
  </si>
  <si>
    <t xml:space="preserve">https://www.servicenow.com/docs/r/australia/it-operations-management/service-mapping/r_EntryPointsforBizSvcDef.html</t>
  </si>
  <si>
    <r>
      <rPr>
        <sz val="10"/>
        <color rgb="FF000000"/>
        <rFont val="Microsoft YaHei"/>
        <family val="0"/>
        <charset val="1"/>
      </rPr>
      <t xml:space="preserve">L-04</t>
    </r>
    <r>
      <rPr>
        <sz val="10"/>
        <color rgb="FF000000"/>
        <rFont val="Noto Sans CJK SC"/>
        <family val="2"/>
      </rPr>
      <t xml:space="preserve">（只看通用属性表）</t>
    </r>
  </si>
  <si>
    <t xml:space="preserve">Map a single application service using classic Service Mapping</t>
  </si>
  <si>
    <t xml:space="preserve">https://www.servicenow.com/docs/r/australia/it-operations-management/service-mapping/t_DefineNewBusinessService.html</t>
  </si>
  <si>
    <t xml:space="preserve">Prerequisites for performing top-down discovery</t>
  </si>
  <si>
    <t xml:space="preserve">https://www.servicenow.com/docs/r/australia/it-operations-management/service-mapping/prerequisites-service-mapping.html</t>
  </si>
  <si>
    <r>
      <rPr>
        <sz val="10"/>
        <color rgb="FF000000"/>
        <rFont val="Microsoft YaHei"/>
        <family val="0"/>
        <charset val="1"/>
      </rPr>
      <t xml:space="preserve">L-06</t>
    </r>
    <r>
      <rPr>
        <sz val="10"/>
        <color rgb="FF000000"/>
        <rFont val="Noto Sans CJK SC"/>
        <family val="2"/>
      </rPr>
      <t xml:space="preserve">（只看开头总述和 </t>
    </r>
    <r>
      <rPr>
        <sz val="10"/>
        <color rgb="FF000000"/>
        <rFont val="Microsoft YaHei"/>
        <family val="0"/>
        <charset val="1"/>
      </rPr>
      <t xml:space="preserve">Apache Tomcat </t>
    </r>
    <r>
      <rPr>
        <sz val="10"/>
        <color rgb="FF000000"/>
        <rFont val="Noto Sans CJK SC"/>
        <family val="2"/>
      </rPr>
      <t xml:space="preserve">一行）</t>
    </r>
  </si>
  <si>
    <t xml:space="preserve">Discovery patterns used by ITOM Visibility</t>
  </si>
  <si>
    <t xml:space="preserve">https://www.servicenow.com/docs/r/australia/it-operations-management/discovery-and-service-mapping-patterns/c_MappingPatternsCustomization.html</t>
  </si>
  <si>
    <t xml:space="preserve">Create or customize patterns</t>
  </si>
  <si>
    <t xml:space="preserve">https://www.servicenow.com/docs/r/australia/it-operations-management/discovery-and-service-mapping-patterns/t_CreatePatternPatDef.html</t>
  </si>
  <si>
    <r>
      <rPr>
        <sz val="10"/>
        <color rgb="FF000000"/>
        <rFont val="Microsoft YaHei"/>
        <family val="0"/>
        <charset val="1"/>
      </rPr>
      <t xml:space="preserve">L-05</t>
    </r>
    <r>
      <rPr>
        <sz val="10"/>
        <color rgb="FF000000"/>
        <rFont val="Noto Sans CJK SC"/>
        <family val="2"/>
      </rPr>
      <t xml:space="preserve">（了解 </t>
    </r>
    <r>
      <rPr>
        <sz val="10"/>
        <color rgb="FF000000"/>
        <rFont val="Microsoft YaHei"/>
        <family val="0"/>
        <charset val="1"/>
      </rPr>
      <t xml:space="preserve">Pattern Designer </t>
    </r>
    <r>
      <rPr>
        <sz val="10"/>
        <color rgb="FF000000"/>
        <rFont val="Noto Sans CJK SC"/>
        <family val="2"/>
      </rPr>
      <t xml:space="preserve">的位置，不做定制）</t>
    </r>
  </si>
  <si>
    <t xml:space="preserve">R-10</t>
  </si>
  <si>
    <t xml:space="preserve">MID Server configuration for Service Mapping</t>
  </si>
  <si>
    <t xml:space="preserve">https://www.servicenow.com/docs/r/australia/it-operations-management/service-mapping/configure-mid-service-mapping.html</t>
  </si>
  <si>
    <t xml:space="preserve">R-11</t>
  </si>
  <si>
    <t xml:space="preserve">Service Mapping commands requiring a privileged user</t>
  </si>
  <si>
    <t xml:space="preserve">https://www.servicenow.com/docs/r/australia/it-operations-management/service-mapping/r_CommandsnCredentials.html</t>
  </si>
  <si>
    <r>
      <rPr>
        <sz val="10"/>
        <color rgb="FF000000"/>
        <rFont val="Microsoft YaHei"/>
        <family val="0"/>
        <charset val="1"/>
      </rPr>
      <t xml:space="preserve">L-06</t>
    </r>
    <r>
      <rPr>
        <sz val="10"/>
        <color rgb="FF000000"/>
        <rFont val="Noto Sans CJK SC"/>
        <family val="2"/>
      </rPr>
      <t xml:space="preserve">（扫一眼 </t>
    </r>
    <r>
      <rPr>
        <sz val="10"/>
        <color rgb="FF000000"/>
        <rFont val="Microsoft YaHei"/>
        <family val="0"/>
        <charset val="1"/>
      </rPr>
      <t xml:space="preserve">Tomcat </t>
    </r>
    <r>
      <rPr>
        <sz val="10"/>
        <color rgb="FF000000"/>
        <rFont val="Noto Sans CJK SC"/>
        <family val="2"/>
      </rPr>
      <t xml:space="preserve">用到的命令）</t>
    </r>
  </si>
  <si>
    <t xml:space="preserve">Configure support for Windows servers with non-English OS</t>
  </si>
  <si>
    <t xml:space="preserve">https://www.servicenow.com/docs/r/australia/it-operations-management/service-mapping/t_ConfigureSupport4nonEnglishCIs.html</t>
  </si>
  <si>
    <t xml:space="preserve">Configure Agent Client Collector for use with Service Mapping</t>
  </si>
  <si>
    <t xml:space="preserve">https://www.servicenow.com/docs/r/australia/it-operations-management/service-mapping/configure-acc-for-service-mapping.html</t>
  </si>
  <si>
    <t xml:space="preserve">Verify that Service Mapping is set up properly</t>
  </si>
  <si>
    <t xml:space="preserve">https://www.servicenow.com/docs/r/australia/it-operations-management/service-mapping/check-service-mapping-readiness-for-mapping.html</t>
  </si>
  <si>
    <t xml:space="preserve">Fix service mapping errors using discovery messages</t>
  </si>
  <si>
    <t xml:space="preserve">https://www.servicenow.com/docs/r/australia/it-operations-management/service-mapping/fix-errors-by-discovery-messages.html</t>
  </si>
  <si>
    <r>
      <rPr>
        <sz val="10"/>
        <color rgb="FF000000"/>
        <rFont val="Microsoft YaHei"/>
        <family val="0"/>
        <charset val="1"/>
      </rPr>
      <t xml:space="preserve">L-11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Microsoft YaHei"/>
        <family val="0"/>
        <charset val="1"/>
      </rPr>
      <t xml:space="preserve">L-14</t>
    </r>
  </si>
  <si>
    <t xml:space="preserve">Top-down discovery schedules</t>
  </si>
  <si>
    <t xml:space="preserve">https://www.servicenow.com/docs/r/australia/it-operations-management/service-mapping/top-down-discovery-schedules.html</t>
  </si>
  <si>
    <t xml:space="preserve">Service Mapping Recomputation</t>
  </si>
  <si>
    <t xml:space="preserve">https://www.servicenow.com/docs/r/australia/it-operations-management/service-mapping/recomputation.html</t>
  </si>
  <si>
    <r>
      <rPr>
        <sz val="10"/>
        <color rgb="FF000000"/>
        <rFont val="Microsoft YaHei"/>
        <family val="0"/>
        <charset val="1"/>
      </rPr>
      <t xml:space="preserve">L-03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Microsoft YaHei"/>
        <family val="0"/>
        <charset val="1"/>
      </rPr>
      <t xml:space="preserve">L-16</t>
    </r>
  </si>
  <si>
    <t xml:space="preserve">R-18</t>
  </si>
  <si>
    <t xml:space="preserve">Application service maps in classic Service Mapping</t>
  </si>
  <si>
    <t xml:space="preserve">https://www.servicenow.com/docs/r/australia/it-operations-management/service-mapping/c_UndestandMaps.html</t>
  </si>
  <si>
    <t xml:space="preserve">Review and approval of application service maps</t>
  </si>
  <si>
    <t xml:space="preserve">https://www.servicenow.com/docs/r/australia/it-operations-management/service-mapping/business-service-approval.html</t>
  </si>
  <si>
    <r>
      <rPr>
        <sz val="10"/>
        <color rgb="FF000000"/>
        <rFont val="Microsoft YaHei"/>
        <family val="0"/>
        <charset val="1"/>
      </rPr>
      <t xml:space="preserve">L-19</t>
    </r>
    <r>
      <rPr>
        <sz val="10"/>
        <color rgb="FF000000"/>
        <rFont val="Noto Sans CJK SC"/>
        <family val="2"/>
      </rPr>
      <t xml:space="preserve">（后续）</t>
    </r>
  </si>
  <si>
    <t xml:space="preserve">R-20</t>
  </si>
  <si>
    <t xml:space="preserve">Traffic-based discovery in Service Mapping</t>
  </si>
  <si>
    <t xml:space="preserve">https://www.servicenow.com/docs/r/australia/it-operations-management/service-mapping/traffic-based-discovery.html</t>
  </si>
  <si>
    <r>
      <rPr>
        <sz val="10"/>
        <color rgb="FF000000"/>
        <rFont val="Microsoft YaHei"/>
        <family val="0"/>
        <charset val="1"/>
      </rPr>
      <t xml:space="preserve">L-20</t>
    </r>
    <r>
      <rPr>
        <sz val="10"/>
        <color rgb="FF000000"/>
        <rFont val="Noto Sans CJK SC"/>
        <family val="2"/>
      </rPr>
      <t xml:space="preserve">（后续）</t>
    </r>
  </si>
  <si>
    <t xml:space="preserve">R-21</t>
  </si>
  <si>
    <t xml:space="preserve">Transfer a map segment into another application service</t>
  </si>
  <si>
    <t xml:space="preserve">https://www.servicenow.com/docs/r/australia/it-operations-management/service-mapping/add-segment-to-business-service-map.html</t>
  </si>
  <si>
    <t xml:space="preserve">Service Mapping Workspace</t>
  </si>
  <si>
    <t xml:space="preserve">https://www.servicenow.com/docs/r/australia/it-operations-management/service-mapping/sm-dashboard.html</t>
  </si>
  <si>
    <r>
      <rPr>
        <sz val="10"/>
        <color rgb="FF000000"/>
        <rFont val="Noto Sans CJK SC"/>
        <family val="2"/>
      </rPr>
      <t xml:space="preserve">关键词 </t>
    </r>
    <r>
      <rPr>
        <sz val="10"/>
        <color rgb="FF000000"/>
        <rFont val="Microsoft YaHei"/>
        <family val="0"/>
        <charset val="1"/>
      </rPr>
      <t xml:space="preserve">svc_ci_assoc</t>
    </r>
  </si>
  <si>
    <t xml:space="preserve">Quick Start Guide for Service Mapping</t>
  </si>
  <si>
    <t xml:space="preserve">社区文章</t>
  </si>
  <si>
    <t xml:space="preserve">https://www.servicenow.com/community/itom-articles/quick-start-guide-for-service-mapping/ta-p/3521583</t>
  </si>
  <si>
    <r>
      <rPr>
        <sz val="10"/>
        <color rgb="FF000000"/>
        <rFont val="Microsoft YaHei"/>
        <family val="0"/>
        <charset val="1"/>
      </rPr>
      <t xml:space="preserve">L-22</t>
    </r>
    <r>
      <rPr>
        <sz val="10"/>
        <color rgb="FF000000"/>
        <rFont val="Noto Sans CJK SC"/>
        <family val="2"/>
      </rPr>
      <t xml:space="preserve">（后续）</t>
    </r>
  </si>
  <si>
    <r>
      <rPr>
        <sz val="10"/>
        <color rgb="FF000000"/>
        <rFont val="Microsoft YaHei"/>
        <family val="0"/>
        <charset val="1"/>
      </rPr>
      <t xml:space="preserve">Service Mapping Fundamentals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Microsoft YaHei"/>
        <family val="0"/>
        <charset val="1"/>
      </rPr>
      <t xml:space="preserve">ServiceNow University</t>
    </r>
    <r>
      <rPr>
        <sz val="10"/>
        <color rgb="FF000000"/>
        <rFont val="Noto Sans CJK SC"/>
        <family val="2"/>
      </rPr>
      <t xml:space="preserve">，按需课程，约 </t>
    </r>
    <r>
      <rPr>
        <sz val="10"/>
        <color rgb="FF000000"/>
        <rFont val="Microsoft YaHei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小时，含实验）</t>
    </r>
  </si>
  <si>
    <t xml:space="preserve">培训课程</t>
  </si>
  <si>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Microsoft YaHei"/>
        <family val="0"/>
        <charset val="1"/>
      </rPr>
      <t xml:space="preserve">ServiceNow University </t>
    </r>
    <r>
      <rPr>
        <sz val="10"/>
        <color rgb="FF000000"/>
        <rFont val="Noto Sans CJK SC"/>
        <family val="2"/>
      </rPr>
      <t xml:space="preserve">搜索课程名，选最新版（需登录；</t>
    </r>
    <r>
      <rPr>
        <sz val="10"/>
        <color rgb="FF000000"/>
        <rFont val="Microsoft YaHei"/>
        <family val="0"/>
        <charset val="1"/>
      </rPr>
      <t xml:space="preserve">R-23 </t>
    </r>
    <r>
      <rPr>
        <sz val="10"/>
        <color rgb="FF000000"/>
        <rFont val="Noto Sans CJK SC"/>
        <family val="2"/>
      </rPr>
      <t xml:space="preserve">文中有链接）</t>
    </r>
  </si>
  <si>
    <r>
      <rPr>
        <sz val="10"/>
        <color rgb="FF000000"/>
        <rFont val="Microsoft YaHei"/>
        <family val="0"/>
        <charset val="1"/>
      </rPr>
      <t xml:space="preserve">L-21</t>
    </r>
    <r>
      <rPr>
        <sz val="10"/>
        <color rgb="FF000000"/>
        <rFont val="Noto Sans CJK SC"/>
        <family val="2"/>
      </rPr>
      <t xml:space="preserve">（后续）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</si>
</sst>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icrosoft YaHei"/>
      <family val="0"/>
      <charset val="1"/>
    </font>
    <font>
      <b val="true"/>
      <sz val="14"/>
      <color rgb="FF000000"/>
      <name val="Noto Sans CJK SC"/>
      <family val="2"/>
    </font>
    <font>
      <sz val="9"/>
      <color rgb="FF404040"/>
      <name val="Noto Sans CJK SC"/>
      <family val="2"/>
    </font>
    <font>
      <sz val="9"/>
      <color rgb="FF404040"/>
      <name val="Microsoft YaHei"/>
      <family val="0"/>
      <charset val="1"/>
    </font>
    <font>
      <b val="true"/>
      <sz val="10"/>
      <color rgb="FF000000"/>
      <name val="Noto Sans CJK SC"/>
      <family val="2"/>
    </font>
    <font>
      <sz val="9"/>
      <color rgb="FF000000"/>
      <name val="Microsoft YaHei"/>
      <family val="0"/>
      <charset val="1"/>
    </font>
    <font>
      <sz val="9"/>
      <color rgb="FF000000"/>
      <name val="Noto Sans CJK SC"/>
      <family val="2"/>
    </font>
    <font>
      <b val="true"/>
      <sz val="10"/>
      <color rgb="FF000000"/>
      <name val="Microsoft YaHei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Microsoft YaHei"/>
      <family val="0"/>
      <charset val="1"/>
    </font>
    <font>
      <sz val="10"/>
      <color rgb="FF000000"/>
      <name val="Microsoft YaHei"/>
      <family val="0"/>
      <charset val="1"/>
    </font>
    <font>
      <sz val="10"/>
      <color rgb="FF000000"/>
      <name val="Noto Sans CJK SC"/>
      <family val="2"/>
    </font>
    <font>
      <sz val="10"/>
      <color rgb="FF7F7F7F"/>
      <name val="Microsoft YaHei"/>
      <family val="0"/>
      <charset val="1"/>
    </font>
    <font>
      <sz val="10"/>
      <color rgb="FF7F7F7F"/>
      <name val="Noto Sans CJK SC"/>
      <family val="2"/>
    </font>
    <font>
      <b val="true"/>
      <sz val="10"/>
      <color rgb="FF7F7F7F"/>
      <name val="Noto Sans CJK SC"/>
      <family val="2"/>
    </font>
    <font>
      <b val="true"/>
      <sz val="10"/>
      <color rgb="FF7F7F7F"/>
      <name val="Microsoft YaHei"/>
      <family val="0"/>
      <charset val="1"/>
    </font>
    <font>
      <u val="single"/>
      <sz val="10"/>
      <color rgb="FF0563C1"/>
      <name val="Microsoft YaHe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name val="Microsoft YaHei"/>
        <charset val="1"/>
        <family val="0"/>
        <color rgb="FF548235"/>
      </font>
      <fill>
        <patternFill>
          <bgColor rgb="FFE2EFDA"/>
        </patternFill>
      </fill>
    </dxf>
    <dxf>
      <fill>
        <patternFill>
          <bgColor rgb="FFFFE699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7B7B7"/>
      <rgbColor rgb="FF7F7F7F"/>
      <rgbColor rgb="FF9999FF"/>
      <rgbColor rgb="FF993366"/>
      <rgbColor rgb="FFFFF2CC"/>
      <rgbColor rgb="FFDDEBF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servicenow.com/docs/r/australia/it-operations-management/service-mapping/choose-mapping-method.html" TargetMode="External"/><Relationship Id="rId2" Type="http://schemas.openxmlformats.org/officeDocument/2006/relationships/hyperlink" Target="https://www.servicenow.com/docs/r/australia/servicenow-platform/configuration-management-database-cmdb/application-services.html" TargetMode="External"/><Relationship Id="rId3" Type="http://schemas.openxmlformats.org/officeDocument/2006/relationships/hyperlink" Target="https://www.servicenow.com/docs/r/australia/it-operations-management/service-mapping/pattern-based-discovery.html" TargetMode="External"/><Relationship Id="rId4" Type="http://schemas.openxmlformats.org/officeDocument/2006/relationships/hyperlink" Target="https://www.servicenow.com/docs/r/australia/it-operations-management/discovery/c_DiscoProcessFlows.html" TargetMode="External"/><Relationship Id="rId5" Type="http://schemas.openxmlformats.org/officeDocument/2006/relationships/hyperlink" Target="https://www.servicenow.com/docs/r/australia/it-operations-management/service-mapping/r_EntryPointsforBizSvcDef.html" TargetMode="External"/><Relationship Id="rId6" Type="http://schemas.openxmlformats.org/officeDocument/2006/relationships/hyperlink" Target="https://www.servicenow.com/docs/r/australia/it-operations-management/service-mapping/t_DefineNewBusinessService.html" TargetMode="External"/><Relationship Id="rId7" Type="http://schemas.openxmlformats.org/officeDocument/2006/relationships/hyperlink" Target="https://www.servicenow.com/docs/r/australia/it-operations-management/service-mapping/prerequisites-service-mapping.html" TargetMode="External"/><Relationship Id="rId8" Type="http://schemas.openxmlformats.org/officeDocument/2006/relationships/hyperlink" Target="https://www.servicenow.com/docs/r/australia/it-operations-management/discovery-and-service-mapping-patterns/c_MappingPatternsCustomization.html" TargetMode="External"/><Relationship Id="rId9" Type="http://schemas.openxmlformats.org/officeDocument/2006/relationships/hyperlink" Target="https://www.servicenow.com/docs/r/australia/it-operations-management/discovery-and-service-mapping-patterns/t_CreatePatternPatDef.html" TargetMode="External"/><Relationship Id="rId10" Type="http://schemas.openxmlformats.org/officeDocument/2006/relationships/hyperlink" Target="https://www.servicenow.com/docs/r/australia/it-operations-management/service-mapping/configure-mid-service-mapping.html" TargetMode="External"/><Relationship Id="rId11" Type="http://schemas.openxmlformats.org/officeDocument/2006/relationships/hyperlink" Target="https://www.servicenow.com/docs/r/australia/it-operations-management/service-mapping/r_CommandsnCredentials.html" TargetMode="External"/><Relationship Id="rId12" Type="http://schemas.openxmlformats.org/officeDocument/2006/relationships/hyperlink" Target="https://www.servicenow.com/docs/r/australia/it-operations-management/service-mapping/t_ConfigureSupport4nonEnglishCIs.html" TargetMode="External"/><Relationship Id="rId13" Type="http://schemas.openxmlformats.org/officeDocument/2006/relationships/hyperlink" Target="https://www.servicenow.com/docs/r/australia/it-operations-management/service-mapping/configure-acc-for-service-mapping.html" TargetMode="External"/><Relationship Id="rId14" Type="http://schemas.openxmlformats.org/officeDocument/2006/relationships/hyperlink" Target="https://www.servicenow.com/docs/r/australia/it-operations-management/service-mapping/check-service-mapping-readiness-for-mapping.html" TargetMode="External"/><Relationship Id="rId15" Type="http://schemas.openxmlformats.org/officeDocument/2006/relationships/hyperlink" Target="https://www.servicenow.com/docs/r/australia/it-operations-management/service-mapping/fix-errors-by-discovery-messages.html" TargetMode="External"/><Relationship Id="rId16" Type="http://schemas.openxmlformats.org/officeDocument/2006/relationships/hyperlink" Target="https://www.servicenow.com/docs/r/australia/it-operations-management/service-mapping/top-down-discovery-schedules.html" TargetMode="External"/><Relationship Id="rId17" Type="http://schemas.openxmlformats.org/officeDocument/2006/relationships/hyperlink" Target="https://www.servicenow.com/docs/r/australia/it-operations-management/service-mapping/recomputation.html" TargetMode="External"/><Relationship Id="rId18" Type="http://schemas.openxmlformats.org/officeDocument/2006/relationships/hyperlink" Target="https://www.servicenow.com/docs/r/australia/it-operations-management/service-mapping/c_UndestandMaps.html" TargetMode="External"/><Relationship Id="rId19" Type="http://schemas.openxmlformats.org/officeDocument/2006/relationships/hyperlink" Target="https://www.servicenow.com/docs/r/australia/it-operations-management/service-mapping/business-service-approval.html" TargetMode="External"/><Relationship Id="rId20" Type="http://schemas.openxmlformats.org/officeDocument/2006/relationships/hyperlink" Target="https://www.servicenow.com/docs/r/australia/it-operations-management/service-mapping/traffic-based-discovery.html" TargetMode="External"/><Relationship Id="rId21" Type="http://schemas.openxmlformats.org/officeDocument/2006/relationships/hyperlink" Target="https://www.servicenow.com/docs/r/australia/it-operations-management/service-mapping/add-segment-to-business-service-map.html" TargetMode="External"/><Relationship Id="rId22" Type="http://schemas.openxmlformats.org/officeDocument/2006/relationships/hyperlink" Target="https://www.servicenow.com/docs/r/australia/it-operations-management/service-mapping/sm-dashboard.html" TargetMode="External"/><Relationship Id="rId23" Type="http://schemas.openxmlformats.org/officeDocument/2006/relationships/hyperlink" Target="https://www.servicenow.com/community/itom-articles/quick-start-guide-for-service-mapping/ta-p/352158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5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5"/>
    <col collapsed="false" customWidth="true" hidden="false" outlineLevel="0" max="12" min="11" style="0" width="9"/>
    <col collapsed="false" customWidth="true" hidden="false" outlineLevel="0" max="13" min="13" style="0" width="34"/>
  </cols>
  <sheetData>
    <row r="1" customFormat="false" ht="27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A4" s="3" t="s">
        <v>2</v>
      </c>
      <c r="B4" s="3"/>
      <c r="C4" s="3"/>
      <c r="E4" s="3" t="s">
        <v>3</v>
      </c>
      <c r="F4" s="3"/>
      <c r="G4" s="3"/>
      <c r="H4" s="3"/>
      <c r="I4" s="3"/>
      <c r="J4" s="3"/>
      <c r="K4" s="3"/>
      <c r="L4" s="3"/>
      <c r="M4" s="3"/>
    </row>
    <row r="5" customFormat="false" ht="21.75" hidden="false" customHeight="true" outlineLevel="0" collapsed="false">
      <c r="A5" s="4" t="s">
        <v>4</v>
      </c>
      <c r="B5" s="4"/>
      <c r="C5" s="5" t="n">
        <f aca="false">COUNTIF($C$13:$C$34,"必做")+COUNTIF($C$13:$C$34,"建议")</f>
        <v>17</v>
      </c>
      <c r="E5" s="6" t="s">
        <v>5</v>
      </c>
      <c r="F5" s="6"/>
      <c r="G5" s="6"/>
      <c r="H5" s="6"/>
      <c r="I5" s="6"/>
      <c r="J5" s="6"/>
      <c r="K5" s="6"/>
      <c r="L5" s="6"/>
      <c r="M5" s="6"/>
    </row>
    <row r="6" customFormat="false" ht="21.75" hidden="false" customHeight="true" outlineLevel="0" collapsed="false">
      <c r="A6" s="7" t="s">
        <v>6</v>
      </c>
      <c r="B6" s="7"/>
      <c r="C6" s="5" t="n">
        <f aca="false">COUNTIFS($C$13:$C$34,"必做",$K$13:$K$34,"完成")+COUNTIFS($C$13:$C$34,"建议",$K$13:$K$34,"完成")</f>
        <v>0</v>
      </c>
      <c r="E6" s="6" t="s">
        <v>7</v>
      </c>
      <c r="F6" s="6"/>
      <c r="G6" s="6"/>
      <c r="H6" s="6"/>
      <c r="I6" s="6"/>
      <c r="J6" s="6"/>
      <c r="K6" s="6"/>
      <c r="L6" s="6"/>
      <c r="M6" s="6"/>
    </row>
    <row r="7" customFormat="false" ht="21.75" hidden="false" customHeight="true" outlineLevel="0" collapsed="false">
      <c r="A7" s="7" t="s">
        <v>8</v>
      </c>
      <c r="B7" s="7"/>
      <c r="C7" s="8" t="n">
        <f aca="false">IF(C5=0,0,C6/C5)</f>
        <v>0</v>
      </c>
      <c r="E7" s="9" t="s">
        <v>9</v>
      </c>
      <c r="F7" s="9"/>
      <c r="G7" s="9"/>
      <c r="H7" s="9"/>
      <c r="I7" s="9"/>
      <c r="J7" s="9"/>
      <c r="K7" s="9"/>
      <c r="L7" s="9"/>
      <c r="M7" s="9"/>
    </row>
    <row r="8" customFormat="false" ht="21.75" hidden="false" customHeight="true" outlineLevel="0" collapsed="false">
      <c r="A8" s="4" t="s">
        <v>10</v>
      </c>
      <c r="B8" s="4"/>
      <c r="C8" s="5" t="n">
        <f aca="false">SUMIF($C$13:$C$34,"必做",$H$13:$H$34)+SUMIF($C$13:$C$34,"建议",$H$13:$H$34)</f>
        <v>360</v>
      </c>
      <c r="E8" s="6" t="s">
        <v>11</v>
      </c>
      <c r="F8" s="6"/>
      <c r="G8" s="6"/>
      <c r="H8" s="6"/>
      <c r="I8" s="6"/>
      <c r="J8" s="6"/>
      <c r="K8" s="6"/>
      <c r="L8" s="6"/>
      <c r="M8" s="6"/>
    </row>
    <row r="9" customFormat="false" ht="21.75" hidden="false" customHeight="true" outlineLevel="0" collapsed="false">
      <c r="A9" s="7" t="s">
        <v>12</v>
      </c>
      <c r="B9" s="7"/>
      <c r="C9" s="5" t="n">
        <f aca="false">SUMIF($C$13:$C$34,"必做",$H$13:$H$34)</f>
        <v>300</v>
      </c>
    </row>
    <row r="10" customFormat="false" ht="21.75" hidden="false" customHeight="true" outlineLevel="0" collapsed="false">
      <c r="A10" s="7" t="s">
        <v>13</v>
      </c>
      <c r="B10" s="7"/>
      <c r="C10" s="5" t="n">
        <f aca="false">SUM($L$13:$L$34)</f>
        <v>0</v>
      </c>
    </row>
    <row r="12" customFormat="false" ht="30" hidden="false" customHeight="true" outlineLevel="0" collapsed="false">
      <c r="A12" s="10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  <c r="F12" s="11" t="s">
        <v>19</v>
      </c>
      <c r="G12" s="11" t="s">
        <v>20</v>
      </c>
      <c r="H12" s="11" t="s">
        <v>21</v>
      </c>
      <c r="I12" s="11" t="s">
        <v>22</v>
      </c>
      <c r="J12" s="11" t="s">
        <v>23</v>
      </c>
      <c r="K12" s="12" t="s">
        <v>24</v>
      </c>
      <c r="L12" s="12" t="s">
        <v>25</v>
      </c>
      <c r="M12" s="12" t="s">
        <v>26</v>
      </c>
    </row>
    <row r="13" customFormat="false" ht="72" hidden="false" customHeight="true" outlineLevel="0" collapsed="false">
      <c r="A13" s="13" t="s">
        <v>27</v>
      </c>
      <c r="B13" s="14" t="s">
        <v>28</v>
      </c>
      <c r="C13" s="15" t="s">
        <v>29</v>
      </c>
      <c r="D13" s="16" t="s">
        <v>30</v>
      </c>
      <c r="E13" s="17" t="s">
        <v>31</v>
      </c>
      <c r="F13" s="17" t="s">
        <v>32</v>
      </c>
      <c r="G13" s="18" t="s">
        <v>33</v>
      </c>
      <c r="H13" s="13" t="n">
        <v>15</v>
      </c>
      <c r="I13" s="18" t="s">
        <v>34</v>
      </c>
      <c r="J13" s="18" t="s">
        <v>35</v>
      </c>
      <c r="K13" s="19" t="s">
        <v>36</v>
      </c>
      <c r="L13" s="20"/>
      <c r="M13" s="21"/>
    </row>
    <row r="14" customFormat="false" ht="72" hidden="false" customHeight="true" outlineLevel="0" collapsed="false">
      <c r="A14" s="13" t="s">
        <v>37</v>
      </c>
      <c r="B14" s="14" t="s">
        <v>28</v>
      </c>
      <c r="C14" s="15" t="s">
        <v>29</v>
      </c>
      <c r="D14" s="22" t="s">
        <v>38</v>
      </c>
      <c r="E14" s="18" t="s">
        <v>39</v>
      </c>
      <c r="F14" s="17" t="s">
        <v>40</v>
      </c>
      <c r="G14" s="18" t="s">
        <v>41</v>
      </c>
      <c r="H14" s="13" t="n">
        <v>15</v>
      </c>
      <c r="I14" s="17" t="s">
        <v>42</v>
      </c>
      <c r="J14" s="18" t="s">
        <v>43</v>
      </c>
      <c r="K14" s="19" t="s">
        <v>36</v>
      </c>
      <c r="L14" s="20"/>
      <c r="M14" s="21"/>
    </row>
    <row r="15" customFormat="false" ht="121.5" hidden="false" customHeight="true" outlineLevel="0" collapsed="false">
      <c r="A15" s="13" t="s">
        <v>44</v>
      </c>
      <c r="B15" s="14" t="s">
        <v>28</v>
      </c>
      <c r="C15" s="15" t="s">
        <v>29</v>
      </c>
      <c r="D15" s="16" t="s">
        <v>45</v>
      </c>
      <c r="E15" s="17" t="s">
        <v>46</v>
      </c>
      <c r="F15" s="17" t="s">
        <v>47</v>
      </c>
      <c r="G15" s="18" t="s">
        <v>48</v>
      </c>
      <c r="H15" s="13" t="n">
        <v>40</v>
      </c>
      <c r="I15" s="17" t="s">
        <v>49</v>
      </c>
      <c r="J15" s="18" t="s">
        <v>50</v>
      </c>
      <c r="K15" s="19" t="s">
        <v>36</v>
      </c>
      <c r="L15" s="20"/>
      <c r="M15" s="21"/>
    </row>
    <row r="16" customFormat="false" ht="72" hidden="false" customHeight="true" outlineLevel="0" collapsed="false">
      <c r="A16" s="13" t="s">
        <v>51</v>
      </c>
      <c r="B16" s="14" t="s">
        <v>28</v>
      </c>
      <c r="C16" s="15" t="s">
        <v>29</v>
      </c>
      <c r="D16" s="22" t="s">
        <v>52</v>
      </c>
      <c r="E16" s="17" t="s">
        <v>53</v>
      </c>
      <c r="F16" s="17" t="s">
        <v>54</v>
      </c>
      <c r="G16" s="18" t="s">
        <v>55</v>
      </c>
      <c r="H16" s="13" t="n">
        <v>15</v>
      </c>
      <c r="I16" s="17" t="s">
        <v>56</v>
      </c>
      <c r="J16" s="18" t="s">
        <v>57</v>
      </c>
      <c r="K16" s="19" t="s">
        <v>36</v>
      </c>
      <c r="L16" s="20"/>
      <c r="M16" s="21"/>
    </row>
    <row r="17" customFormat="false" ht="88.5" hidden="false" customHeight="true" outlineLevel="0" collapsed="false">
      <c r="A17" s="13" t="s">
        <v>58</v>
      </c>
      <c r="B17" s="14" t="s">
        <v>28</v>
      </c>
      <c r="C17" s="15" t="s">
        <v>29</v>
      </c>
      <c r="D17" s="22" t="s">
        <v>59</v>
      </c>
      <c r="E17" s="18" t="s">
        <v>60</v>
      </c>
      <c r="F17" s="17" t="s">
        <v>61</v>
      </c>
      <c r="G17" s="18" t="s">
        <v>62</v>
      </c>
      <c r="H17" s="13" t="n">
        <v>30</v>
      </c>
      <c r="I17" s="17" t="s">
        <v>63</v>
      </c>
      <c r="J17" s="18" t="s">
        <v>64</v>
      </c>
      <c r="K17" s="19" t="s">
        <v>36</v>
      </c>
      <c r="L17" s="20"/>
      <c r="M17" s="21"/>
    </row>
    <row r="18" customFormat="false" ht="88.5" hidden="false" customHeight="true" outlineLevel="0" collapsed="false">
      <c r="A18" s="13" t="s">
        <v>65</v>
      </c>
      <c r="B18" s="14" t="s">
        <v>28</v>
      </c>
      <c r="C18" s="15" t="s">
        <v>29</v>
      </c>
      <c r="D18" s="16" t="s">
        <v>66</v>
      </c>
      <c r="E18" s="18" t="s">
        <v>67</v>
      </c>
      <c r="F18" s="17" t="s">
        <v>68</v>
      </c>
      <c r="G18" s="18" t="s">
        <v>69</v>
      </c>
      <c r="H18" s="13" t="n">
        <v>25</v>
      </c>
      <c r="I18" s="17" t="s">
        <v>70</v>
      </c>
      <c r="J18" s="18" t="s">
        <v>71</v>
      </c>
      <c r="K18" s="19" t="s">
        <v>36</v>
      </c>
      <c r="L18" s="20"/>
      <c r="M18" s="21"/>
    </row>
    <row r="19" customFormat="false" ht="55.5" hidden="false" customHeight="true" outlineLevel="0" collapsed="false">
      <c r="A19" s="13" t="s">
        <v>72</v>
      </c>
      <c r="B19" s="14" t="s">
        <v>28</v>
      </c>
      <c r="C19" s="15" t="s">
        <v>73</v>
      </c>
      <c r="D19" s="16" t="s">
        <v>74</v>
      </c>
      <c r="E19" s="17" t="s">
        <v>75</v>
      </c>
      <c r="F19" s="17" t="s">
        <v>76</v>
      </c>
      <c r="G19" s="18" t="s">
        <v>77</v>
      </c>
      <c r="H19" s="13" t="n">
        <v>10</v>
      </c>
      <c r="I19" s="17" t="s">
        <v>78</v>
      </c>
      <c r="J19" s="18" t="s">
        <v>79</v>
      </c>
      <c r="K19" s="19" t="s">
        <v>36</v>
      </c>
      <c r="L19" s="20"/>
      <c r="M19" s="21"/>
    </row>
    <row r="20" customFormat="false" ht="39.75" hidden="false" customHeight="true" outlineLevel="0" collapsed="false">
      <c r="A20" s="13" t="s">
        <v>80</v>
      </c>
      <c r="B20" s="23" t="s">
        <v>81</v>
      </c>
      <c r="C20" s="15" t="s">
        <v>29</v>
      </c>
      <c r="D20" s="16" t="s">
        <v>82</v>
      </c>
      <c r="E20" s="18" t="s">
        <v>83</v>
      </c>
      <c r="F20" s="18" t="s">
        <v>84</v>
      </c>
      <c r="G20" s="18" t="s">
        <v>85</v>
      </c>
      <c r="H20" s="13" t="n">
        <v>10</v>
      </c>
      <c r="I20" s="17" t="s">
        <v>86</v>
      </c>
      <c r="J20" s="18" t="s">
        <v>35</v>
      </c>
      <c r="K20" s="19" t="s">
        <v>36</v>
      </c>
      <c r="L20" s="20"/>
      <c r="M20" s="21"/>
    </row>
    <row r="21" customFormat="false" ht="55.5" hidden="false" customHeight="true" outlineLevel="0" collapsed="false">
      <c r="A21" s="13" t="s">
        <v>87</v>
      </c>
      <c r="B21" s="23" t="s">
        <v>81</v>
      </c>
      <c r="C21" s="15" t="s">
        <v>29</v>
      </c>
      <c r="D21" s="16" t="s">
        <v>88</v>
      </c>
      <c r="E21" s="18" t="s">
        <v>89</v>
      </c>
      <c r="F21" s="17" t="s">
        <v>90</v>
      </c>
      <c r="G21" s="18" t="s">
        <v>91</v>
      </c>
      <c r="H21" s="13" t="n">
        <v>15</v>
      </c>
      <c r="I21" s="17" t="s">
        <v>92</v>
      </c>
      <c r="J21" s="18" t="s">
        <v>93</v>
      </c>
      <c r="K21" s="19" t="s">
        <v>36</v>
      </c>
      <c r="L21" s="20"/>
      <c r="M21" s="21"/>
    </row>
    <row r="22" customFormat="false" ht="88.5" hidden="false" customHeight="true" outlineLevel="0" collapsed="false">
      <c r="A22" s="13" t="s">
        <v>94</v>
      </c>
      <c r="B22" s="23" t="s">
        <v>81</v>
      </c>
      <c r="C22" s="15" t="s">
        <v>29</v>
      </c>
      <c r="D22" s="16" t="s">
        <v>95</v>
      </c>
      <c r="E22" s="18" t="s">
        <v>96</v>
      </c>
      <c r="F22" s="18" t="s">
        <v>97</v>
      </c>
      <c r="G22" s="18" t="s">
        <v>98</v>
      </c>
      <c r="H22" s="13" t="n">
        <v>25</v>
      </c>
      <c r="I22" s="17" t="s">
        <v>99</v>
      </c>
      <c r="J22" s="18" t="s">
        <v>100</v>
      </c>
      <c r="K22" s="19" t="s">
        <v>36</v>
      </c>
      <c r="L22" s="20"/>
      <c r="M22" s="21"/>
    </row>
    <row r="23" customFormat="false" ht="72" hidden="false" customHeight="true" outlineLevel="0" collapsed="false">
      <c r="A23" s="13" t="s">
        <v>101</v>
      </c>
      <c r="B23" s="23" t="s">
        <v>81</v>
      </c>
      <c r="C23" s="15" t="s">
        <v>29</v>
      </c>
      <c r="D23" s="16" t="s">
        <v>102</v>
      </c>
      <c r="E23" s="17" t="s">
        <v>103</v>
      </c>
      <c r="F23" s="17" t="s">
        <v>104</v>
      </c>
      <c r="G23" s="18" t="s">
        <v>105</v>
      </c>
      <c r="H23" s="13" t="n">
        <v>35</v>
      </c>
      <c r="I23" s="17" t="s">
        <v>106</v>
      </c>
      <c r="J23" s="18" t="s">
        <v>107</v>
      </c>
      <c r="K23" s="19" t="s">
        <v>36</v>
      </c>
      <c r="L23" s="20"/>
      <c r="M23" s="21"/>
    </row>
    <row r="24" customFormat="false" ht="55.5" hidden="false" customHeight="true" outlineLevel="0" collapsed="false">
      <c r="A24" s="13" t="s">
        <v>108</v>
      </c>
      <c r="B24" s="23" t="s">
        <v>81</v>
      </c>
      <c r="C24" s="15" t="s">
        <v>29</v>
      </c>
      <c r="D24" s="16" t="s">
        <v>109</v>
      </c>
      <c r="E24" s="17" t="s">
        <v>110</v>
      </c>
      <c r="F24" s="17" t="s">
        <v>111</v>
      </c>
      <c r="G24" s="18" t="s">
        <v>112</v>
      </c>
      <c r="H24" s="13" t="n">
        <v>15</v>
      </c>
      <c r="I24" s="17" t="s">
        <v>113</v>
      </c>
      <c r="J24" s="18" t="s">
        <v>114</v>
      </c>
      <c r="K24" s="19" t="s">
        <v>36</v>
      </c>
      <c r="L24" s="20"/>
      <c r="M24" s="21"/>
    </row>
    <row r="25" customFormat="false" ht="39.75" hidden="false" customHeight="true" outlineLevel="0" collapsed="false">
      <c r="A25" s="13" t="s">
        <v>115</v>
      </c>
      <c r="B25" s="23" t="s">
        <v>81</v>
      </c>
      <c r="C25" s="15" t="s">
        <v>73</v>
      </c>
      <c r="D25" s="16" t="s">
        <v>116</v>
      </c>
      <c r="E25" s="17" t="s">
        <v>117</v>
      </c>
      <c r="F25" s="17" t="s">
        <v>118</v>
      </c>
      <c r="G25" s="18" t="s">
        <v>112</v>
      </c>
      <c r="H25" s="13" t="n">
        <v>20</v>
      </c>
      <c r="I25" s="17" t="s">
        <v>119</v>
      </c>
      <c r="J25" s="18" t="s">
        <v>120</v>
      </c>
      <c r="K25" s="19" t="s">
        <v>36</v>
      </c>
      <c r="L25" s="20"/>
      <c r="M25" s="21"/>
    </row>
    <row r="26" customFormat="false" ht="55.5" hidden="false" customHeight="true" outlineLevel="0" collapsed="false">
      <c r="A26" s="13" t="s">
        <v>121</v>
      </c>
      <c r="B26" s="23" t="s">
        <v>81</v>
      </c>
      <c r="C26" s="15" t="s">
        <v>73</v>
      </c>
      <c r="D26" s="16" t="s">
        <v>122</v>
      </c>
      <c r="E26" s="17" t="s">
        <v>123</v>
      </c>
      <c r="F26" s="17" t="s">
        <v>124</v>
      </c>
      <c r="G26" s="18" t="s">
        <v>125</v>
      </c>
      <c r="H26" s="13" t="n">
        <v>20</v>
      </c>
      <c r="I26" s="17" t="s">
        <v>126</v>
      </c>
      <c r="J26" s="18" t="s">
        <v>127</v>
      </c>
      <c r="K26" s="19" t="s">
        <v>36</v>
      </c>
      <c r="L26" s="20"/>
      <c r="M26" s="21"/>
    </row>
    <row r="27" customFormat="false" ht="39.75" hidden="false" customHeight="true" outlineLevel="0" collapsed="false">
      <c r="A27" s="13" t="s">
        <v>128</v>
      </c>
      <c r="B27" s="23" t="s">
        <v>81</v>
      </c>
      <c r="C27" s="15" t="s">
        <v>73</v>
      </c>
      <c r="D27" s="16" t="s">
        <v>129</v>
      </c>
      <c r="E27" s="17" t="s">
        <v>130</v>
      </c>
      <c r="F27" s="17" t="s">
        <v>131</v>
      </c>
      <c r="G27" s="18" t="s">
        <v>132</v>
      </c>
      <c r="H27" s="13" t="n">
        <v>10</v>
      </c>
      <c r="I27" s="17" t="s">
        <v>133</v>
      </c>
      <c r="J27" s="18" t="s">
        <v>134</v>
      </c>
      <c r="K27" s="19" t="s">
        <v>36</v>
      </c>
      <c r="L27" s="20"/>
      <c r="M27" s="21"/>
    </row>
    <row r="28" customFormat="false" ht="55.5" hidden="false" customHeight="true" outlineLevel="0" collapsed="false">
      <c r="A28" s="13" t="s">
        <v>135</v>
      </c>
      <c r="B28" s="24" t="s">
        <v>136</v>
      </c>
      <c r="C28" s="15" t="s">
        <v>29</v>
      </c>
      <c r="D28" s="16" t="s">
        <v>137</v>
      </c>
      <c r="E28" s="17" t="s">
        <v>138</v>
      </c>
      <c r="F28" s="17" t="s">
        <v>139</v>
      </c>
      <c r="G28" s="18" t="s">
        <v>140</v>
      </c>
      <c r="H28" s="13" t="n">
        <v>25</v>
      </c>
      <c r="I28" s="18" t="s">
        <v>141</v>
      </c>
      <c r="J28" s="18" t="s">
        <v>142</v>
      </c>
      <c r="K28" s="19" t="s">
        <v>36</v>
      </c>
      <c r="L28" s="20"/>
      <c r="M28" s="21"/>
    </row>
    <row r="29" customFormat="false" ht="39.75" hidden="false" customHeight="true" outlineLevel="0" collapsed="false">
      <c r="A29" s="13" t="s">
        <v>143</v>
      </c>
      <c r="B29" s="24" t="s">
        <v>136</v>
      </c>
      <c r="C29" s="15" t="s">
        <v>29</v>
      </c>
      <c r="D29" s="16" t="s">
        <v>144</v>
      </c>
      <c r="E29" s="17" t="s">
        <v>145</v>
      </c>
      <c r="F29" s="17" t="s">
        <v>146</v>
      </c>
      <c r="G29" s="17" t="s">
        <v>147</v>
      </c>
      <c r="H29" s="13" t="n">
        <v>35</v>
      </c>
      <c r="I29" s="17" t="s">
        <v>148</v>
      </c>
      <c r="J29" s="18" t="s">
        <v>149</v>
      </c>
      <c r="K29" s="19" t="s">
        <v>36</v>
      </c>
      <c r="L29" s="20"/>
      <c r="M29" s="21"/>
    </row>
    <row r="30" customFormat="false" ht="55.5" hidden="false" customHeight="true" outlineLevel="0" collapsed="false">
      <c r="A30" s="25" t="s">
        <v>150</v>
      </c>
      <c r="B30" s="26" t="s">
        <v>151</v>
      </c>
      <c r="C30" s="27" t="s">
        <v>152</v>
      </c>
      <c r="D30" s="28" t="s">
        <v>153</v>
      </c>
      <c r="E30" s="29" t="s">
        <v>154</v>
      </c>
      <c r="F30" s="30" t="s">
        <v>155</v>
      </c>
      <c r="G30" s="29" t="s">
        <v>156</v>
      </c>
      <c r="H30" s="25" t="n">
        <v>120</v>
      </c>
      <c r="I30" s="30" t="s">
        <v>157</v>
      </c>
      <c r="J30" s="29" t="s">
        <v>158</v>
      </c>
      <c r="K30" s="19" t="s">
        <v>36</v>
      </c>
      <c r="L30" s="20"/>
      <c r="M30" s="21"/>
    </row>
    <row r="31" customFormat="false" ht="39.75" hidden="false" customHeight="true" outlineLevel="0" collapsed="false">
      <c r="A31" s="25" t="s">
        <v>159</v>
      </c>
      <c r="B31" s="26" t="s">
        <v>151</v>
      </c>
      <c r="C31" s="27" t="s">
        <v>152</v>
      </c>
      <c r="D31" s="31" t="s">
        <v>160</v>
      </c>
      <c r="E31" s="30" t="s">
        <v>161</v>
      </c>
      <c r="F31" s="30" t="s">
        <v>162</v>
      </c>
      <c r="G31" s="29" t="s">
        <v>163</v>
      </c>
      <c r="H31" s="25" t="n">
        <v>30</v>
      </c>
      <c r="I31" s="30" t="s">
        <v>164</v>
      </c>
      <c r="J31" s="30" t="s">
        <v>165</v>
      </c>
      <c r="K31" s="19" t="s">
        <v>36</v>
      </c>
      <c r="L31" s="20"/>
      <c r="M31" s="21"/>
    </row>
    <row r="32" customFormat="false" ht="39.75" hidden="false" customHeight="true" outlineLevel="0" collapsed="false">
      <c r="A32" s="25" t="s">
        <v>166</v>
      </c>
      <c r="B32" s="26" t="s">
        <v>151</v>
      </c>
      <c r="C32" s="27" t="s">
        <v>152</v>
      </c>
      <c r="D32" s="31" t="s">
        <v>167</v>
      </c>
      <c r="E32" s="29" t="s">
        <v>168</v>
      </c>
      <c r="F32" s="30" t="s">
        <v>169</v>
      </c>
      <c r="G32" s="29" t="s">
        <v>170</v>
      </c>
      <c r="H32" s="25" t="n">
        <v>40</v>
      </c>
      <c r="I32" s="30" t="s">
        <v>171</v>
      </c>
      <c r="J32" s="29" t="s">
        <v>172</v>
      </c>
      <c r="K32" s="19" t="s">
        <v>36</v>
      </c>
      <c r="L32" s="20"/>
      <c r="M32" s="21"/>
    </row>
    <row r="33" customFormat="false" ht="55.5" hidden="false" customHeight="true" outlineLevel="0" collapsed="false">
      <c r="A33" s="25" t="s">
        <v>173</v>
      </c>
      <c r="B33" s="26" t="s">
        <v>151</v>
      </c>
      <c r="C33" s="27" t="s">
        <v>152</v>
      </c>
      <c r="D33" s="28" t="s">
        <v>174</v>
      </c>
      <c r="E33" s="30" t="s">
        <v>175</v>
      </c>
      <c r="F33" s="29" t="s">
        <v>176</v>
      </c>
      <c r="G33" s="29" t="s">
        <v>177</v>
      </c>
      <c r="H33" s="25" t="n">
        <v>540</v>
      </c>
      <c r="I33" s="30" t="s">
        <v>178</v>
      </c>
      <c r="J33" s="29" t="s">
        <v>142</v>
      </c>
      <c r="K33" s="19" t="s">
        <v>36</v>
      </c>
      <c r="L33" s="20"/>
      <c r="M33" s="21"/>
    </row>
    <row r="34" customFormat="false" ht="55.5" hidden="false" customHeight="true" outlineLevel="0" collapsed="false">
      <c r="A34" s="25" t="s">
        <v>179</v>
      </c>
      <c r="B34" s="26" t="s">
        <v>151</v>
      </c>
      <c r="C34" s="27" t="s">
        <v>152</v>
      </c>
      <c r="D34" s="28" t="s">
        <v>180</v>
      </c>
      <c r="E34" s="30" t="s">
        <v>181</v>
      </c>
      <c r="F34" s="30" t="s">
        <v>182</v>
      </c>
      <c r="G34" s="29" t="s">
        <v>183</v>
      </c>
      <c r="H34" s="25" t="n">
        <v>20</v>
      </c>
      <c r="I34" s="30" t="s">
        <v>184</v>
      </c>
      <c r="J34" s="29" t="s">
        <v>142</v>
      </c>
      <c r="K34" s="19" t="s">
        <v>36</v>
      </c>
      <c r="L34" s="20"/>
      <c r="M34" s="21"/>
    </row>
  </sheetData>
  <autoFilter ref="A12:M34"/>
  <mergeCells count="13">
    <mergeCell ref="A2:M2"/>
    <mergeCell ref="A4:C4"/>
    <mergeCell ref="E4:M4"/>
    <mergeCell ref="A5:B5"/>
    <mergeCell ref="E5:M5"/>
    <mergeCell ref="A6:B6"/>
    <mergeCell ref="E6:M6"/>
    <mergeCell ref="A7:B7"/>
    <mergeCell ref="E7:M7"/>
    <mergeCell ref="A8:B8"/>
    <mergeCell ref="E8:M8"/>
    <mergeCell ref="A9:B9"/>
    <mergeCell ref="A10:B10"/>
  </mergeCells>
  <conditionalFormatting sqref="A13:J34">
    <cfRule type="expression" priority="2" aboveAverage="0" equalAverage="0" bottom="0" percent="0" rank="0" text="" dxfId="9">
      <formula>$K13="完成"</formula>
    </cfRule>
  </conditionalFormatting>
  <conditionalFormatting sqref="K13:K34">
    <cfRule type="expression" priority="3" aboveAverage="0" equalAverage="0" bottom="0" percent="0" rank="0" text="" dxfId="10">
      <formula>$K13="进行中"</formula>
    </cfRule>
  </conditionalFormatting>
  <dataValidations count="2">
    <dataValidation allowBlank="true" error="请从下拉选择：未开始／进行中／完成" errorStyle="stop" operator="between" showDropDown="false" showErrorMessage="false" showInputMessage="false" sqref="K13:K34" type="list">
      <formula1>"未开始,进行中,完成"</formula1>
      <formula2>0</formula2>
    </dataValidation>
    <dataValidation allowBlank="true" error="请输入 0～1440 的整数（分钟）" errorStyle="stop" operator="between" showDropDown="false" showErrorMessage="false" showInputMessage="false" sqref="L13:L34" type="whole">
      <formula1>0</formula1>
      <formula2>1440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42"/>
    <col collapsed="false" customWidth="true" hidden="false" outlineLevel="0" max="6" min="6" style="0" width="22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36"/>
  </cols>
  <sheetData>
    <row r="1" customFormat="false" ht="27.75" hidden="false" customHeight="true" outlineLevel="0" collapsed="false">
      <c r="A1" s="1" t="s">
        <v>185</v>
      </c>
    </row>
    <row r="2" customFormat="false" ht="30" hidden="false" customHeight="true" outlineLevel="0" collapsed="false">
      <c r="A2" s="2" t="s">
        <v>186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11" t="s">
        <v>187</v>
      </c>
      <c r="B4" s="11" t="s">
        <v>188</v>
      </c>
      <c r="C4" s="11" t="s">
        <v>189</v>
      </c>
      <c r="D4" s="11" t="s">
        <v>190</v>
      </c>
      <c r="E4" s="11" t="s">
        <v>191</v>
      </c>
      <c r="F4" s="11" t="s">
        <v>192</v>
      </c>
      <c r="G4" s="11" t="s">
        <v>193</v>
      </c>
      <c r="H4" s="12" t="s">
        <v>194</v>
      </c>
      <c r="I4" s="12" t="s">
        <v>195</v>
      </c>
    </row>
    <row r="5" customFormat="false" ht="55.5" hidden="false" customHeight="true" outlineLevel="0" collapsed="false">
      <c r="A5" s="13" t="s">
        <v>196</v>
      </c>
      <c r="B5" s="16" t="s">
        <v>197</v>
      </c>
      <c r="C5" s="18" t="s">
        <v>198</v>
      </c>
      <c r="D5" s="18" t="s">
        <v>199</v>
      </c>
      <c r="E5" s="17" t="s">
        <v>200</v>
      </c>
      <c r="F5" s="18" t="s">
        <v>35</v>
      </c>
      <c r="G5" s="18" t="s">
        <v>201</v>
      </c>
      <c r="H5" s="20"/>
      <c r="I5" s="21"/>
    </row>
    <row r="6" customFormat="false" ht="55.5" hidden="false" customHeight="true" outlineLevel="0" collapsed="false">
      <c r="A6" s="13" t="s">
        <v>202</v>
      </c>
      <c r="B6" s="16" t="s">
        <v>203</v>
      </c>
      <c r="C6" s="17" t="s">
        <v>204</v>
      </c>
      <c r="D6" s="17" t="s">
        <v>205</v>
      </c>
      <c r="E6" s="17" t="s">
        <v>206</v>
      </c>
      <c r="F6" s="18" t="s">
        <v>207</v>
      </c>
      <c r="G6" s="18" t="s">
        <v>208</v>
      </c>
      <c r="H6" s="20"/>
      <c r="I6" s="21"/>
    </row>
    <row r="7" customFormat="false" ht="55.5" hidden="false" customHeight="true" outlineLevel="0" collapsed="false">
      <c r="A7" s="13" t="s">
        <v>209</v>
      </c>
      <c r="B7" s="16" t="s">
        <v>210</v>
      </c>
      <c r="C7" s="17" t="s">
        <v>211</v>
      </c>
      <c r="D7" s="18" t="s">
        <v>212</v>
      </c>
      <c r="E7" s="17" t="s">
        <v>213</v>
      </c>
      <c r="F7" s="18" t="s">
        <v>214</v>
      </c>
      <c r="G7" s="18" t="s">
        <v>215</v>
      </c>
      <c r="H7" s="20"/>
      <c r="I7" s="21"/>
    </row>
    <row r="8" customFormat="false" ht="39.75" hidden="false" customHeight="true" outlineLevel="0" collapsed="false">
      <c r="A8" s="13" t="s">
        <v>216</v>
      </c>
      <c r="B8" s="16" t="s">
        <v>217</v>
      </c>
      <c r="C8" s="17" t="s">
        <v>218</v>
      </c>
      <c r="D8" s="18" t="s">
        <v>219</v>
      </c>
      <c r="E8" s="17" t="s">
        <v>220</v>
      </c>
      <c r="F8" s="18" t="s">
        <v>221</v>
      </c>
      <c r="G8" s="18" t="s">
        <v>222</v>
      </c>
      <c r="H8" s="20"/>
      <c r="I8" s="21"/>
    </row>
    <row r="9" customFormat="false" ht="55.5" hidden="false" customHeight="true" outlineLevel="0" collapsed="false">
      <c r="A9" s="13" t="s">
        <v>223</v>
      </c>
      <c r="B9" s="16" t="s">
        <v>224</v>
      </c>
      <c r="C9" s="18" t="s">
        <v>225</v>
      </c>
      <c r="D9" s="17" t="s">
        <v>226</v>
      </c>
      <c r="E9" s="17" t="s">
        <v>227</v>
      </c>
      <c r="F9" s="18" t="s">
        <v>228</v>
      </c>
      <c r="G9" s="18" t="s">
        <v>229</v>
      </c>
      <c r="H9" s="20"/>
      <c r="I9" s="21"/>
    </row>
    <row r="10" customFormat="false" ht="55.5" hidden="false" customHeight="true" outlineLevel="0" collapsed="false">
      <c r="A10" s="13" t="s">
        <v>230</v>
      </c>
      <c r="B10" s="16" t="s">
        <v>231</v>
      </c>
      <c r="C10" s="17" t="s">
        <v>232</v>
      </c>
      <c r="D10" s="17" t="s">
        <v>233</v>
      </c>
      <c r="E10" s="17" t="s">
        <v>234</v>
      </c>
      <c r="F10" s="18" t="s">
        <v>235</v>
      </c>
      <c r="G10" s="18" t="s">
        <v>236</v>
      </c>
      <c r="H10" s="20"/>
      <c r="I10" s="21"/>
    </row>
    <row r="11" customFormat="false" ht="39.75" hidden="false" customHeight="true" outlineLevel="0" collapsed="false">
      <c r="A11" s="13" t="s">
        <v>237</v>
      </c>
      <c r="B11" s="16" t="s">
        <v>238</v>
      </c>
      <c r="C11" s="17" t="s">
        <v>239</v>
      </c>
      <c r="D11" s="17" t="s">
        <v>240</v>
      </c>
      <c r="E11" s="17" t="s">
        <v>241</v>
      </c>
      <c r="F11" s="18" t="s">
        <v>242</v>
      </c>
      <c r="G11" s="18" t="s">
        <v>44</v>
      </c>
      <c r="H11" s="20"/>
      <c r="I11" s="21"/>
    </row>
    <row r="12" customFormat="false" ht="39.75" hidden="false" customHeight="true" outlineLevel="0" collapsed="false">
      <c r="A12" s="13" t="s">
        <v>243</v>
      </c>
      <c r="B12" s="16" t="s">
        <v>244</v>
      </c>
      <c r="C12" s="17" t="s">
        <v>245</v>
      </c>
      <c r="D12" s="17" t="s">
        <v>246</v>
      </c>
      <c r="E12" s="18" t="s">
        <v>247</v>
      </c>
      <c r="F12" s="23" t="s">
        <v>248</v>
      </c>
      <c r="G12" s="18" t="s">
        <v>44</v>
      </c>
      <c r="H12" s="20"/>
      <c r="I12" s="21"/>
    </row>
    <row r="13" customFormat="false" ht="39.75" hidden="false" customHeight="true" outlineLevel="0" collapsed="false">
      <c r="A13" s="13" t="s">
        <v>249</v>
      </c>
      <c r="B13" s="16" t="s">
        <v>250</v>
      </c>
      <c r="C13" s="18" t="s">
        <v>251</v>
      </c>
      <c r="D13" s="18" t="s">
        <v>252</v>
      </c>
      <c r="E13" s="17" t="s">
        <v>253</v>
      </c>
      <c r="F13" s="18" t="s">
        <v>254</v>
      </c>
      <c r="G13" s="18" t="s">
        <v>101</v>
      </c>
      <c r="H13" s="20"/>
      <c r="I13" s="21"/>
    </row>
    <row r="14" customFormat="false" ht="39.75" hidden="false" customHeight="true" outlineLevel="0" collapsed="false">
      <c r="A14" s="13" t="s">
        <v>255</v>
      </c>
      <c r="B14" s="16" t="s">
        <v>256</v>
      </c>
      <c r="C14" s="17" t="s">
        <v>257</v>
      </c>
      <c r="D14" s="17" t="s">
        <v>258</v>
      </c>
      <c r="E14" s="18" t="s">
        <v>259</v>
      </c>
      <c r="F14" s="18" t="s">
        <v>79</v>
      </c>
      <c r="G14" s="18" t="s">
        <v>72</v>
      </c>
      <c r="H14" s="20"/>
      <c r="I14" s="21"/>
    </row>
    <row r="15" customFormat="false" ht="55.5" hidden="false" customHeight="true" outlineLevel="0" collapsed="false">
      <c r="A15" s="13" t="s">
        <v>260</v>
      </c>
      <c r="B15" s="16" t="s">
        <v>129</v>
      </c>
      <c r="C15" s="17" t="s">
        <v>261</v>
      </c>
      <c r="D15" s="18" t="s">
        <v>262</v>
      </c>
      <c r="E15" s="17" t="s">
        <v>263</v>
      </c>
      <c r="F15" s="18" t="s">
        <v>264</v>
      </c>
      <c r="G15" s="18" t="s">
        <v>128</v>
      </c>
      <c r="H15" s="20"/>
      <c r="I15" s="21"/>
    </row>
    <row r="16" customFormat="false" ht="39.75" hidden="false" customHeight="true" outlineLevel="0" collapsed="false">
      <c r="A16" s="13" t="s">
        <v>265</v>
      </c>
      <c r="B16" s="16" t="s">
        <v>266</v>
      </c>
      <c r="C16" s="17" t="s">
        <v>267</v>
      </c>
      <c r="D16" s="17" t="s">
        <v>268</v>
      </c>
      <c r="E16" s="17" t="s">
        <v>269</v>
      </c>
      <c r="F16" s="18" t="s">
        <v>120</v>
      </c>
      <c r="G16" s="18" t="s">
        <v>115</v>
      </c>
      <c r="H16" s="20"/>
      <c r="I16" s="21"/>
    </row>
    <row r="17" customFormat="false" ht="39.75" hidden="false" customHeight="true" outlineLevel="0" collapsed="false">
      <c r="A17" s="13" t="s">
        <v>270</v>
      </c>
      <c r="B17" s="16" t="s">
        <v>271</v>
      </c>
      <c r="C17" s="18" t="s">
        <v>272</v>
      </c>
      <c r="D17" s="17" t="s">
        <v>273</v>
      </c>
      <c r="E17" s="17" t="s">
        <v>274</v>
      </c>
      <c r="F17" s="18" t="s">
        <v>275</v>
      </c>
      <c r="G17" s="18" t="s">
        <v>44</v>
      </c>
      <c r="H17" s="20"/>
      <c r="I17" s="21"/>
    </row>
    <row r="18" customFormat="false" ht="55.5" hidden="false" customHeight="true" outlineLevel="0" collapsed="false">
      <c r="A18" s="13" t="s">
        <v>276</v>
      </c>
      <c r="B18" s="16" t="s">
        <v>277</v>
      </c>
      <c r="C18" s="18" t="s">
        <v>278</v>
      </c>
      <c r="D18" s="17" t="s">
        <v>279</v>
      </c>
      <c r="E18" s="17" t="s">
        <v>280</v>
      </c>
      <c r="F18" s="32" t="s">
        <v>281</v>
      </c>
      <c r="G18" s="18" t="s">
        <v>159</v>
      </c>
      <c r="H18" s="20"/>
      <c r="I18" s="21"/>
    </row>
  </sheetData>
  <mergeCells count="1">
    <mergeCell ref="A2:I2"/>
  </mergeCells>
  <dataValidations count="1">
    <dataValidation allowBlank="true" errorStyle="stop" operator="between" showDropDown="false" showErrorMessage="false" showInputMessage="false" sqref="H5:H18" type="list">
      <formula1>"已覆盖,需补充,需修改,不适用"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3" min="3" style="0" width="40"/>
    <col collapsed="false" customWidth="true" hidden="false" outlineLevel="0" max="4" min="4" style="0" width="12"/>
  </cols>
  <sheetData>
    <row r="1" customFormat="false" ht="27.75" hidden="false" customHeight="true" outlineLevel="0" collapsed="false">
      <c r="A1" s="33" t="s">
        <v>282</v>
      </c>
    </row>
    <row r="3" customFormat="false" ht="15" hidden="false" customHeight="false" outlineLevel="0" collapsed="false">
      <c r="A3" s="11" t="s">
        <v>283</v>
      </c>
      <c r="B3" s="11" t="s">
        <v>284</v>
      </c>
      <c r="C3" s="11" t="s">
        <v>285</v>
      </c>
      <c r="D3" s="11" t="s">
        <v>20</v>
      </c>
    </row>
    <row r="4" customFormat="false" ht="39" hidden="false" customHeight="true" outlineLevel="0" collapsed="false">
      <c r="A4" s="22" t="s">
        <v>286</v>
      </c>
      <c r="B4" s="17" t="s">
        <v>287</v>
      </c>
      <c r="C4" s="18" t="s">
        <v>288</v>
      </c>
      <c r="D4" s="13" t="s">
        <v>289</v>
      </c>
    </row>
    <row r="5" customFormat="false" ht="39" hidden="false" customHeight="true" outlineLevel="0" collapsed="false">
      <c r="A5" s="22" t="s">
        <v>290</v>
      </c>
      <c r="B5" s="17" t="s">
        <v>291</v>
      </c>
      <c r="C5" s="17" t="s">
        <v>292</v>
      </c>
      <c r="D5" s="13" t="s">
        <v>293</v>
      </c>
    </row>
    <row r="6" customFormat="false" ht="55.5" hidden="false" customHeight="true" outlineLevel="0" collapsed="false">
      <c r="A6" s="22" t="s">
        <v>294</v>
      </c>
      <c r="B6" s="18" t="s">
        <v>295</v>
      </c>
      <c r="C6" s="18" t="s">
        <v>296</v>
      </c>
      <c r="D6" s="13" t="s">
        <v>98</v>
      </c>
    </row>
    <row r="7" customFormat="false" ht="39" hidden="false" customHeight="true" outlineLevel="0" collapsed="false">
      <c r="A7" s="22" t="s">
        <v>297</v>
      </c>
      <c r="B7" s="17" t="s">
        <v>298</v>
      </c>
      <c r="C7" s="18" t="s">
        <v>299</v>
      </c>
      <c r="D7" s="13" t="s">
        <v>300</v>
      </c>
    </row>
    <row r="8" customFormat="false" ht="39" hidden="false" customHeight="true" outlineLevel="0" collapsed="false">
      <c r="A8" s="22" t="s">
        <v>301</v>
      </c>
      <c r="B8" s="17" t="s">
        <v>302</v>
      </c>
      <c r="C8" s="18" t="s">
        <v>303</v>
      </c>
      <c r="D8" s="13" t="s">
        <v>62</v>
      </c>
    </row>
    <row r="9" customFormat="false" ht="24" hidden="false" customHeight="true" outlineLevel="0" collapsed="false">
      <c r="A9" s="22" t="s">
        <v>304</v>
      </c>
      <c r="B9" s="18" t="s">
        <v>305</v>
      </c>
      <c r="C9" s="18" t="s">
        <v>306</v>
      </c>
      <c r="D9" s="13" t="s">
        <v>307</v>
      </c>
    </row>
    <row r="10" customFormat="false" ht="39" hidden="false" customHeight="true" outlineLevel="0" collapsed="false">
      <c r="A10" s="22" t="s">
        <v>308</v>
      </c>
      <c r="B10" s="17" t="s">
        <v>309</v>
      </c>
      <c r="C10" s="18" t="s">
        <v>306</v>
      </c>
      <c r="D10" s="13" t="s">
        <v>310</v>
      </c>
    </row>
    <row r="11" customFormat="false" ht="39" hidden="false" customHeight="true" outlineLevel="0" collapsed="false">
      <c r="A11" s="16" t="s">
        <v>311</v>
      </c>
      <c r="B11" s="17" t="s">
        <v>312</v>
      </c>
      <c r="C11" s="18" t="s">
        <v>313</v>
      </c>
      <c r="D11" s="13" t="s">
        <v>314</v>
      </c>
    </row>
    <row r="12" customFormat="false" ht="24" hidden="false" customHeight="true" outlineLevel="0" collapsed="false">
      <c r="A12" s="22" t="s">
        <v>315</v>
      </c>
      <c r="B12" s="17" t="s">
        <v>316</v>
      </c>
      <c r="C12" s="17" t="s">
        <v>317</v>
      </c>
      <c r="D12" s="13" t="s">
        <v>289</v>
      </c>
    </row>
    <row r="13" customFormat="false" ht="24" hidden="false" customHeight="true" outlineLevel="0" collapsed="false">
      <c r="A13" s="22" t="s">
        <v>318</v>
      </c>
      <c r="B13" s="17" t="s">
        <v>319</v>
      </c>
      <c r="C13" s="17" t="s">
        <v>320</v>
      </c>
      <c r="D13" s="13" t="s">
        <v>112</v>
      </c>
    </row>
    <row r="14" customFormat="false" ht="24" hidden="false" customHeight="true" outlineLevel="0" collapsed="false">
      <c r="A14" s="22" t="s">
        <v>321</v>
      </c>
      <c r="B14" s="17" t="s">
        <v>322</v>
      </c>
      <c r="C14" s="18" t="s">
        <v>323</v>
      </c>
      <c r="D14" s="13" t="s">
        <v>324</v>
      </c>
    </row>
    <row r="15" customFormat="false" ht="39" hidden="false" customHeight="true" outlineLevel="0" collapsed="false">
      <c r="A15" s="22" t="s">
        <v>325</v>
      </c>
      <c r="B15" s="17" t="s">
        <v>326</v>
      </c>
      <c r="C15" s="17" t="s">
        <v>327</v>
      </c>
      <c r="D15" s="13" t="s">
        <v>328</v>
      </c>
    </row>
    <row r="16" customFormat="false" ht="24" hidden="false" customHeight="true" outlineLevel="0" collapsed="false">
      <c r="A16" s="22" t="s">
        <v>329</v>
      </c>
      <c r="B16" s="18" t="s">
        <v>330</v>
      </c>
      <c r="C16" s="17" t="s">
        <v>273</v>
      </c>
      <c r="D16" s="13" t="s">
        <v>331</v>
      </c>
    </row>
    <row r="17" customFormat="false" ht="24" hidden="false" customHeight="true" outlineLevel="0" collapsed="false">
      <c r="A17" s="22" t="s">
        <v>332</v>
      </c>
      <c r="B17" s="17" t="s">
        <v>333</v>
      </c>
      <c r="C17" s="18" t="s">
        <v>288</v>
      </c>
      <c r="D17" s="13" t="s">
        <v>85</v>
      </c>
    </row>
    <row r="18" customFormat="false" ht="39" hidden="false" customHeight="true" outlineLevel="0" collapsed="false">
      <c r="A18" s="22" t="s">
        <v>334</v>
      </c>
      <c r="B18" s="17" t="s">
        <v>335</v>
      </c>
      <c r="C18" s="18" t="s">
        <v>336</v>
      </c>
      <c r="D18" s="13" t="s">
        <v>307</v>
      </c>
    </row>
    <row r="19" customFormat="false" ht="39" hidden="false" customHeight="true" outlineLevel="0" collapsed="false">
      <c r="A19" s="22" t="s">
        <v>337</v>
      </c>
      <c r="B19" s="18" t="s">
        <v>338</v>
      </c>
      <c r="C19" s="18" t="s">
        <v>339</v>
      </c>
      <c r="D19" s="13" t="s">
        <v>77</v>
      </c>
    </row>
    <row r="20" customFormat="false" ht="24" hidden="false" customHeight="true" outlineLevel="0" collapsed="false">
      <c r="A20" s="22" t="s">
        <v>340</v>
      </c>
      <c r="B20" s="17" t="s">
        <v>341</v>
      </c>
      <c r="C20" s="18" t="s">
        <v>342</v>
      </c>
      <c r="D20" s="13" t="s">
        <v>343</v>
      </c>
    </row>
    <row r="21" customFormat="false" ht="39" hidden="false" customHeight="true" outlineLevel="0" collapsed="false">
      <c r="A21" s="22" t="s">
        <v>344</v>
      </c>
      <c r="B21" s="17" t="s">
        <v>345</v>
      </c>
      <c r="C21" s="18" t="s">
        <v>346</v>
      </c>
      <c r="D21" s="13" t="s">
        <v>132</v>
      </c>
    </row>
    <row r="22" customFormat="false" ht="39" hidden="false" customHeight="true" outlineLevel="0" collapsed="false">
      <c r="A22" s="22" t="s">
        <v>347</v>
      </c>
      <c r="B22" s="17" t="s">
        <v>348</v>
      </c>
      <c r="C22" s="17" t="s">
        <v>349</v>
      </c>
      <c r="D22" s="13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0"/>
    <col collapsed="false" customWidth="true" hidden="false" outlineLevel="0" max="4" min="3" style="0" width="10"/>
    <col collapsed="false" customWidth="true" hidden="false" outlineLevel="0" max="5" min="5" style="0" width="70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33" t="s">
        <v>351</v>
      </c>
    </row>
    <row r="2" customFormat="false" ht="15" hidden="false" customHeight="true" outlineLevel="0" collapsed="false">
      <c r="A2" s="2" t="s">
        <v>352</v>
      </c>
      <c r="B2" s="2"/>
      <c r="C2" s="2"/>
      <c r="D2" s="2"/>
      <c r="E2" s="2"/>
      <c r="F2" s="2"/>
    </row>
    <row r="4" customFormat="false" ht="29.85" hidden="false" customHeight="false" outlineLevel="0" collapsed="false">
      <c r="A4" s="10" t="s">
        <v>353</v>
      </c>
      <c r="B4" s="11" t="s">
        <v>354</v>
      </c>
      <c r="C4" s="11" t="s">
        <v>355</v>
      </c>
      <c r="D4" s="11" t="s">
        <v>356</v>
      </c>
      <c r="E4" s="10" t="s">
        <v>357</v>
      </c>
      <c r="F4" s="11" t="s">
        <v>358</v>
      </c>
    </row>
    <row r="5" customFormat="false" ht="39" hidden="false" customHeight="true" outlineLevel="0" collapsed="false">
      <c r="A5" s="13" t="s">
        <v>359</v>
      </c>
      <c r="B5" s="18" t="s">
        <v>360</v>
      </c>
      <c r="C5" s="15" t="s">
        <v>361</v>
      </c>
      <c r="D5" s="13" t="n">
        <v>2</v>
      </c>
      <c r="E5" s="34" t="s">
        <v>362</v>
      </c>
      <c r="F5" s="18" t="s">
        <v>37</v>
      </c>
    </row>
    <row r="6" customFormat="false" ht="39" hidden="false" customHeight="true" outlineLevel="0" collapsed="false">
      <c r="A6" s="13" t="s">
        <v>363</v>
      </c>
      <c r="B6" s="18" t="s">
        <v>364</v>
      </c>
      <c r="C6" s="15" t="s">
        <v>361</v>
      </c>
      <c r="D6" s="13" t="n">
        <v>12</v>
      </c>
      <c r="E6" s="34" t="s">
        <v>365</v>
      </c>
      <c r="F6" s="18" t="s">
        <v>366</v>
      </c>
    </row>
    <row r="7" customFormat="false" ht="39" hidden="false" customHeight="true" outlineLevel="0" collapsed="false">
      <c r="A7" s="13" t="s">
        <v>289</v>
      </c>
      <c r="B7" s="18" t="s">
        <v>367</v>
      </c>
      <c r="C7" s="15" t="s">
        <v>361</v>
      </c>
      <c r="D7" s="13" t="n">
        <v>3</v>
      </c>
      <c r="E7" s="34" t="s">
        <v>368</v>
      </c>
      <c r="F7" s="18" t="s">
        <v>369</v>
      </c>
    </row>
    <row r="8" customFormat="false" ht="39" hidden="false" customHeight="true" outlineLevel="0" collapsed="false">
      <c r="A8" s="13" t="s">
        <v>314</v>
      </c>
      <c r="B8" s="18" t="s">
        <v>370</v>
      </c>
      <c r="C8" s="15" t="s">
        <v>361</v>
      </c>
      <c r="D8" s="13" t="n">
        <v>3</v>
      </c>
      <c r="E8" s="34" t="s">
        <v>371</v>
      </c>
      <c r="F8" s="18" t="s">
        <v>44</v>
      </c>
    </row>
    <row r="9" customFormat="false" ht="39" hidden="false" customHeight="true" outlineLevel="0" collapsed="false">
      <c r="A9" s="13" t="s">
        <v>293</v>
      </c>
      <c r="B9" s="18" t="s">
        <v>372</v>
      </c>
      <c r="C9" s="15" t="s">
        <v>361</v>
      </c>
      <c r="D9" s="13" t="n">
        <v>5</v>
      </c>
      <c r="E9" s="34" t="s">
        <v>373</v>
      </c>
      <c r="F9" s="18" t="s">
        <v>374</v>
      </c>
    </row>
    <row r="10" customFormat="false" ht="39" hidden="false" customHeight="true" outlineLevel="0" collapsed="false">
      <c r="A10" s="13" t="s">
        <v>98</v>
      </c>
      <c r="B10" s="18" t="s">
        <v>375</v>
      </c>
      <c r="C10" s="15" t="s">
        <v>361</v>
      </c>
      <c r="D10" s="13" t="n">
        <v>11</v>
      </c>
      <c r="E10" s="34" t="s">
        <v>376</v>
      </c>
      <c r="F10" s="18" t="s">
        <v>208</v>
      </c>
    </row>
    <row r="11" customFormat="false" ht="39" hidden="false" customHeight="true" outlineLevel="0" collapsed="false">
      <c r="A11" s="13" t="s">
        <v>91</v>
      </c>
      <c r="B11" s="18" t="s">
        <v>377</v>
      </c>
      <c r="C11" s="15" t="s">
        <v>361</v>
      </c>
      <c r="D11" s="13" t="n">
        <v>49</v>
      </c>
      <c r="E11" s="34" t="s">
        <v>378</v>
      </c>
      <c r="F11" s="18" t="s">
        <v>379</v>
      </c>
    </row>
    <row r="12" customFormat="false" ht="55.5" hidden="false" customHeight="true" outlineLevel="0" collapsed="false">
      <c r="A12" s="13" t="s">
        <v>300</v>
      </c>
      <c r="B12" s="18" t="s">
        <v>380</v>
      </c>
      <c r="C12" s="15" t="s">
        <v>361</v>
      </c>
      <c r="D12" s="13" t="n">
        <v>6</v>
      </c>
      <c r="E12" s="34" t="s">
        <v>381</v>
      </c>
      <c r="F12" s="18" t="s">
        <v>58</v>
      </c>
    </row>
    <row r="13" customFormat="false" ht="55.5" hidden="false" customHeight="true" outlineLevel="0" collapsed="false">
      <c r="A13" s="13" t="s">
        <v>307</v>
      </c>
      <c r="B13" s="18" t="s">
        <v>382</v>
      </c>
      <c r="C13" s="15" t="s">
        <v>361</v>
      </c>
      <c r="D13" s="13" t="n">
        <v>2</v>
      </c>
      <c r="E13" s="34" t="s">
        <v>383</v>
      </c>
      <c r="F13" s="18" t="s">
        <v>384</v>
      </c>
    </row>
    <row r="14" customFormat="false" ht="39" hidden="false" customHeight="true" outlineLevel="0" collapsed="false">
      <c r="A14" s="13" t="s">
        <v>385</v>
      </c>
      <c r="B14" s="18" t="s">
        <v>386</v>
      </c>
      <c r="C14" s="15" t="s">
        <v>361</v>
      </c>
      <c r="D14" s="13" t="n">
        <v>6</v>
      </c>
      <c r="E14" s="34" t="s">
        <v>387</v>
      </c>
      <c r="F14" s="18" t="s">
        <v>65</v>
      </c>
    </row>
    <row r="15" customFormat="false" ht="39" hidden="false" customHeight="true" outlineLevel="0" collapsed="false">
      <c r="A15" s="13" t="s">
        <v>388</v>
      </c>
      <c r="B15" s="18" t="s">
        <v>389</v>
      </c>
      <c r="C15" s="15" t="s">
        <v>361</v>
      </c>
      <c r="D15" s="13" t="n">
        <v>16</v>
      </c>
      <c r="E15" s="34" t="s">
        <v>390</v>
      </c>
      <c r="F15" s="18" t="s">
        <v>391</v>
      </c>
    </row>
    <row r="16" customFormat="false" ht="39" hidden="false" customHeight="true" outlineLevel="0" collapsed="false">
      <c r="A16" s="13" t="s">
        <v>343</v>
      </c>
      <c r="B16" s="18" t="s">
        <v>392</v>
      </c>
      <c r="C16" s="15" t="s">
        <v>361</v>
      </c>
      <c r="D16" s="13" t="n">
        <v>1</v>
      </c>
      <c r="E16" s="34" t="s">
        <v>393</v>
      </c>
      <c r="F16" s="18" t="s">
        <v>65</v>
      </c>
    </row>
    <row r="17" customFormat="false" ht="39" hidden="false" customHeight="true" outlineLevel="0" collapsed="false">
      <c r="A17" s="13" t="s">
        <v>77</v>
      </c>
      <c r="B17" s="18" t="s">
        <v>394</v>
      </c>
      <c r="C17" s="15" t="s">
        <v>361</v>
      </c>
      <c r="D17" s="13" t="n">
        <v>1</v>
      </c>
      <c r="E17" s="34" t="s">
        <v>395</v>
      </c>
      <c r="F17" s="18" t="s">
        <v>72</v>
      </c>
    </row>
    <row r="18" customFormat="false" ht="55.5" hidden="false" customHeight="true" outlineLevel="0" collapsed="false">
      <c r="A18" s="13" t="s">
        <v>85</v>
      </c>
      <c r="B18" s="18" t="s">
        <v>396</v>
      </c>
      <c r="C18" s="15" t="s">
        <v>361</v>
      </c>
      <c r="D18" s="13" t="n">
        <v>3</v>
      </c>
      <c r="E18" s="34" t="s">
        <v>397</v>
      </c>
      <c r="F18" s="18" t="s">
        <v>80</v>
      </c>
    </row>
    <row r="19" customFormat="false" ht="39" hidden="false" customHeight="true" outlineLevel="0" collapsed="false">
      <c r="A19" s="13" t="s">
        <v>112</v>
      </c>
      <c r="B19" s="18" t="s">
        <v>398</v>
      </c>
      <c r="C19" s="15" t="s">
        <v>361</v>
      </c>
      <c r="D19" s="13" t="n">
        <v>6</v>
      </c>
      <c r="E19" s="34" t="s">
        <v>399</v>
      </c>
      <c r="F19" s="18" t="s">
        <v>400</v>
      </c>
    </row>
    <row r="20" customFormat="false" ht="39" hidden="false" customHeight="true" outlineLevel="0" collapsed="false">
      <c r="A20" s="13" t="s">
        <v>132</v>
      </c>
      <c r="B20" s="18" t="s">
        <v>401</v>
      </c>
      <c r="C20" s="15" t="s">
        <v>361</v>
      </c>
      <c r="D20" s="13" t="n">
        <v>4</v>
      </c>
      <c r="E20" s="34" t="s">
        <v>402</v>
      </c>
      <c r="F20" s="18" t="s">
        <v>128</v>
      </c>
    </row>
    <row r="21" customFormat="false" ht="39" hidden="false" customHeight="true" outlineLevel="0" collapsed="false">
      <c r="A21" s="13" t="s">
        <v>331</v>
      </c>
      <c r="B21" s="18" t="s">
        <v>403</v>
      </c>
      <c r="C21" s="15" t="s">
        <v>361</v>
      </c>
      <c r="D21" s="13" t="n">
        <v>1</v>
      </c>
      <c r="E21" s="34" t="s">
        <v>404</v>
      </c>
      <c r="F21" s="18" t="s">
        <v>405</v>
      </c>
    </row>
    <row r="22" customFormat="false" ht="39" hidden="false" customHeight="true" outlineLevel="0" collapsed="false">
      <c r="A22" s="13" t="s">
        <v>406</v>
      </c>
      <c r="B22" s="18" t="s">
        <v>407</v>
      </c>
      <c r="C22" s="15" t="s">
        <v>361</v>
      </c>
      <c r="D22" s="13" t="n">
        <v>4</v>
      </c>
      <c r="E22" s="34" t="s">
        <v>408</v>
      </c>
      <c r="F22" s="18" t="s">
        <v>101</v>
      </c>
    </row>
    <row r="23" customFormat="false" ht="39" hidden="false" customHeight="true" outlineLevel="0" collapsed="false">
      <c r="A23" s="13" t="s">
        <v>163</v>
      </c>
      <c r="B23" s="18" t="s">
        <v>409</v>
      </c>
      <c r="C23" s="15" t="s">
        <v>361</v>
      </c>
      <c r="D23" s="13" t="n">
        <v>2</v>
      </c>
      <c r="E23" s="34" t="s">
        <v>410</v>
      </c>
      <c r="F23" s="18" t="s">
        <v>411</v>
      </c>
    </row>
    <row r="24" customFormat="false" ht="39" hidden="false" customHeight="true" outlineLevel="0" collapsed="false">
      <c r="A24" s="13" t="s">
        <v>412</v>
      </c>
      <c r="B24" s="18" t="s">
        <v>413</v>
      </c>
      <c r="C24" s="15" t="s">
        <v>361</v>
      </c>
      <c r="D24" s="13" t="n">
        <v>5</v>
      </c>
      <c r="E24" s="34" t="s">
        <v>414</v>
      </c>
      <c r="F24" s="18" t="s">
        <v>415</v>
      </c>
    </row>
    <row r="25" customFormat="false" ht="39" hidden="false" customHeight="true" outlineLevel="0" collapsed="false">
      <c r="A25" s="13" t="s">
        <v>416</v>
      </c>
      <c r="B25" s="18" t="s">
        <v>417</v>
      </c>
      <c r="C25" s="15" t="s">
        <v>361</v>
      </c>
      <c r="D25" s="13" t="n">
        <v>3</v>
      </c>
      <c r="E25" s="34" t="s">
        <v>418</v>
      </c>
      <c r="F25" s="18" t="s">
        <v>415</v>
      </c>
    </row>
    <row r="26" customFormat="false" ht="39" hidden="false" customHeight="true" outlineLevel="0" collapsed="false">
      <c r="A26" s="13" t="s">
        <v>324</v>
      </c>
      <c r="B26" s="18" t="s">
        <v>419</v>
      </c>
      <c r="C26" s="15" t="s">
        <v>361</v>
      </c>
      <c r="D26" s="13" t="n">
        <v>6</v>
      </c>
      <c r="E26" s="34" t="s">
        <v>420</v>
      </c>
      <c r="F26" s="17" t="s">
        <v>421</v>
      </c>
    </row>
    <row r="27" customFormat="false" ht="39" hidden="false" customHeight="true" outlineLevel="0" collapsed="false">
      <c r="A27" s="13" t="s">
        <v>183</v>
      </c>
      <c r="B27" s="18" t="s">
        <v>422</v>
      </c>
      <c r="C27" s="15" t="s">
        <v>423</v>
      </c>
      <c r="D27" s="13"/>
      <c r="E27" s="34" t="s">
        <v>424</v>
      </c>
      <c r="F27" s="18" t="s">
        <v>425</v>
      </c>
    </row>
    <row r="28" customFormat="false" ht="39" hidden="false" customHeight="true" outlineLevel="0" collapsed="false">
      <c r="A28" s="13" t="s">
        <v>177</v>
      </c>
      <c r="B28" s="18" t="s">
        <v>426</v>
      </c>
      <c r="C28" s="15" t="s">
        <v>427</v>
      </c>
      <c r="D28" s="13" t="n">
        <v>540</v>
      </c>
      <c r="E28" s="17" t="s">
        <v>428</v>
      </c>
      <c r="F28" s="18" t="s">
        <v>429</v>
      </c>
    </row>
  </sheetData>
  <mergeCells count="1">
    <mergeCell ref="A2:F2"/>
  </mergeCells>
  <hyperlinks>
    <hyperlink ref="E5" r:id="rId1" display="https://www.servicenow.com/docs/r/australia/it-operations-management/service-mapping/choose-mapping-method.html"/>
    <hyperlink ref="E6" r:id="rId2" display="https://www.servicenow.com/docs/r/australia/servicenow-platform/configuration-management-database-cmdb/application-services.html"/>
    <hyperlink ref="E7" r:id="rId3" display="https://www.servicenow.com/docs/r/australia/it-operations-management/service-mapping/pattern-based-discovery.html"/>
    <hyperlink ref="E8" r:id="rId4" display="https://www.servicenow.com/docs/r/australia/it-operations-management/discovery/c_DiscoProcessFlows.html"/>
    <hyperlink ref="E9" r:id="rId5" display="https://www.servicenow.com/docs/r/australia/it-operations-management/service-mapping/r_EntryPointsforBizSvcDef.html"/>
    <hyperlink ref="E10" r:id="rId6" display="https://www.servicenow.com/docs/r/australia/it-operations-management/service-mapping/t_DefineNewBusinessService.html"/>
    <hyperlink ref="E11" r:id="rId7" display="https://www.servicenow.com/docs/r/australia/it-operations-management/service-mapping/prerequisites-service-mapping.html"/>
    <hyperlink ref="E12" r:id="rId8" display="https://www.servicenow.com/docs/r/australia/it-operations-management/discovery-and-service-mapping-patterns/c_MappingPatternsCustomization.html"/>
    <hyperlink ref="E13" r:id="rId9" display="https://www.servicenow.com/docs/r/australia/it-operations-management/discovery-and-service-mapping-patterns/t_CreatePatternPatDef.html"/>
    <hyperlink ref="E14" r:id="rId10" display="https://www.servicenow.com/docs/r/australia/it-operations-management/service-mapping/configure-mid-service-mapping.html"/>
    <hyperlink ref="E15" r:id="rId11" display="https://www.servicenow.com/docs/r/australia/it-operations-management/service-mapping/r_CommandsnCredentials.html"/>
    <hyperlink ref="E16" r:id="rId12" display="https://www.servicenow.com/docs/r/australia/it-operations-management/service-mapping/t_ConfigureSupport4nonEnglishCIs.html"/>
    <hyperlink ref="E17" r:id="rId13" display="https://www.servicenow.com/docs/r/australia/it-operations-management/service-mapping/configure-acc-for-service-mapping.html"/>
    <hyperlink ref="E18" r:id="rId14" display="https://www.servicenow.com/docs/r/australia/it-operations-management/service-mapping/check-service-mapping-readiness-for-mapping.html"/>
    <hyperlink ref="E19" r:id="rId15" display="https://www.servicenow.com/docs/r/australia/it-operations-management/service-mapping/fix-errors-by-discovery-messages.html"/>
    <hyperlink ref="E20" r:id="rId16" display="https://www.servicenow.com/docs/r/australia/it-operations-management/service-mapping/top-down-discovery-schedules.html"/>
    <hyperlink ref="E21" r:id="rId17" display="https://www.servicenow.com/docs/r/australia/it-operations-management/service-mapping/recomputation.html"/>
    <hyperlink ref="E22" r:id="rId18" display="https://www.servicenow.com/docs/r/australia/it-operations-management/service-mapping/c_UndestandMaps.html"/>
    <hyperlink ref="E23" r:id="rId19" display="https://www.servicenow.com/docs/r/australia/it-operations-management/service-mapping/business-service-approval.html"/>
    <hyperlink ref="E24" r:id="rId20" display="https://www.servicenow.com/docs/r/australia/it-operations-management/service-mapping/traffic-based-discovery.html"/>
    <hyperlink ref="E25" r:id="rId21" display="https://www.servicenow.com/docs/r/australia/it-operations-management/service-mapping/add-segment-to-business-service-map.html"/>
    <hyperlink ref="E26" r:id="rId22" display="https://www.servicenow.com/docs/r/australia/it-operations-management/service-mapping/sm-dashboard.html"/>
    <hyperlink ref="E27" r:id="rId23" display="https://www.servicenow.com/community/itom-articles/quick-start-guide-for-service-mapping/ta-p/352158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2026-10-26T08:07:36Z</dcterms:created>
  <dc:creator>openpyxl</dc:creator>
  <dc:description/>
  <dc:language>en-US</dc:language>
  <cp:lastModifiedBy/>
  <dcterms:modified xsi:type="dcterms:W3CDTF">2026-10-26T08:07:36Z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